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THỐNG KÊ" sheetId="1" r:id="rId5"/>
    <sheet state="visible" name="Danh Sách Link Form ĐOÀN 2" sheetId="2" r:id="rId6"/>
    <sheet state="visible" name="Phản hồi - Phòng Điều dưỡng" sheetId="3" r:id="rId7"/>
    <sheet state="visible" name="Phản hồi - Phòng Tổ chức cán bộ" sheetId="4" r:id="rId8"/>
    <sheet state="visible" name="Phản hồi - Phòng Vật tư thiết b" sheetId="5" r:id="rId9"/>
    <sheet state="visible" name="Phản hồi - Phòng Tài chánh kế t" sheetId="6" r:id="rId10"/>
    <sheet state="visible" name="Phản hồi - Phòng Quản lý chất l" sheetId="7" r:id="rId11"/>
    <sheet state="visible" name="Phản hồi - Phòng Kế hoạch tổng " sheetId="8" r:id="rId12"/>
    <sheet state="visible" name="Phản hồi - Phòng Hành chánh quả" sheetId="9" r:id="rId13"/>
    <sheet state="visible" name="Phản hồi - Phòng Công tác xã hộ" sheetId="10" r:id="rId14"/>
    <sheet state="visible" name="MUC_LUC" sheetId="11" r:id="rId15"/>
    <sheet state="visible" name="HUONG_DAN" sheetId="12" r:id="rId16"/>
    <sheet state="visible" name="PHAN_CONG_02_DOAN" sheetId="13" r:id="rId17"/>
    <sheet state="visible" name="CAN_CU" sheetId="14" r:id="rId18"/>
    <sheet state="visible" name="P_KHTH" sheetId="15" r:id="rId19"/>
    <sheet state="visible" name="P_QLCL" sheetId="16" r:id="rId20"/>
    <sheet state="visible" name="P_TCCB" sheetId="17" r:id="rId21"/>
    <sheet state="visible" name="P_HCQT" sheetId="18" r:id="rId22"/>
    <sheet state="visible" name="P_DIEU_DUONG" sheetId="19" r:id="rId23"/>
    <sheet state="visible" name="P_TCKT" sheetId="20" r:id="rId24"/>
    <sheet state="visible" name="P_VTTBYT" sheetId="21" r:id="rId25"/>
    <sheet state="visible" name="P_CTXH" sheetId="22" r:id="rId26"/>
    <sheet state="visible" name="DU_LIEU_TIEU_CHI" sheetId="23" r:id="rId27"/>
    <sheet state="visible" name="TONG_HOP_DIEM" sheetId="24" r:id="rId28"/>
  </sheets>
  <definedNames/>
  <calcPr/>
</workbook>
</file>

<file path=xl/sharedStrings.xml><?xml version="1.0" encoding="utf-8"?>
<sst xmlns="http://schemas.openxmlformats.org/spreadsheetml/2006/main" count="3254" uniqueCount="384">
  <si>
    <t>BẢNG ĐIỀU KHIỂN (DASHBOARD) - TỔNG HỢP &amp; PHÂN TÍCH LỖI KIỂM TRA PHÒNG CHỨC NĂNG (ĐOÀN 2)</t>
  </si>
  <si>
    <t>Chọn Phòng kiểm tra:</t>
  </si>
  <si>
    <t>Phản hồi - Phòng Điều dưỡng</t>
  </si>
  <si>
    <t>👉 NÚT CẬP NHẬT:</t>
  </si>
  <si>
    <t>Tích chọn để tự động đồng bộ kết quả mới nhất</t>
  </si>
  <si>
    <t>TỔNG ĐIỂM CHUNG CỦA PHÒNG CHỨC NĂNG (TẤT CẢ THÀNH VIÊN ĐÃ CHẤM):</t>
  </si>
  <si>
    <t>0 ĐIỂM</t>
  </si>
  <si>
    <t>1. TỔNG SỐ ĐIỂM ĐẠT THEO TỪNG THÀNH VIÊN ĐÃ CHẤM</t>
  </si>
  <si>
    <t>Tên Thành Viên Đoàn Kiểm Tra (Đoàn 2)</t>
  </si>
  <si>
    <t>Tổng Điểm Đạt</t>
  </si>
  <si>
    <t>Phòng này chưa có dữ liệu nộp phiếu chấm đợt này.</t>
  </si>
  <si>
    <t>2. CHI TIẾT NỘI DUNG KHÔNG ĐẠT ĐIỂM TỐI ĐA (PHÁT HIỆN LỖI)</t>
  </si>
  <si>
    <t>Nội dung tiêu chí kiểm tra</t>
  </si>
  <si>
    <t>Điểm chấm / Tối đa</t>
  </si>
  <si>
    <t>Thành viên chấm nội dung</t>
  </si>
  <si>
    <t>🎉 Tuyệt vời! Phòng đạt điểm tối đa ở tất cả các tiêu chí đã chấm.</t>
  </si>
  <si>
    <t>3. CHI TIẾT CÁC PHÁT HIỆN / GHI CHÚ / YÊU CẦU KHẮC PHỤC BẮT BUỘC</t>
  </si>
  <si>
    <t>Nội dung phát hiện thực tế &amp; Yêu cầu cải tiến chất lượng</t>
  </si>
  <si>
    <t>Thành viên ghi nhận lỗi</t>
  </si>
  <si>
    <t>Không có ghi chú hoặc lỗi phát hiện đặc biệt nào được nhập.</t>
  </si>
  <si>
    <t>STT</t>
  </si>
  <si>
    <t>TÊN PHÒNG KIỂM TRA</t>
  </si>
  <si>
    <t>LINK GỬI CHO THÀNH VIÊN ĐOÀN 2</t>
  </si>
  <si>
    <t>Phòng Công tác xã hội</t>
  </si>
  <si>
    <t>https://docs.google.com/forms/d/e/1FAIpQLScQynTKiUrR6Ps5BIwuk2MlrusqVGwi3lK9D2PTjUyWaqrzIw/viewform</t>
  </si>
  <si>
    <t>Phòng Hành chánh quản trị</t>
  </si>
  <si>
    <t>https://docs.google.com/forms/d/e/1FAIpQLSfbJz8Qr2_xQq5yueZVmWTGYINpAajZn1zBQ79cu4_Zf1XptA/viewform</t>
  </si>
  <si>
    <t>Phòng Kế hoạch tổng hợp</t>
  </si>
  <si>
    <t>https://docs.google.com/forms/d/e/1FAIpQLScqf_JtC5MEZ1sHNJZr3MCZnzSabbPor5GXh4a7mOKX73i6hg/viewform</t>
  </si>
  <si>
    <t>Phòng Quản lý chất lượng</t>
  </si>
  <si>
    <t>https://docs.google.com/forms/d/e/1FAIpQLScgTWmNIPf4ro8I3iDEGfKiIXCKFv2iWgBedSP4aI_qzvZxaw/viewform</t>
  </si>
  <si>
    <t>Phòng Tài chánh kế toán</t>
  </si>
  <si>
    <t>https://docs.google.com/forms/d/e/1FAIpQLSeZRcUIISro7qJAaYP2J7SooI7ZVjXTfmAGdMTcclyf6RTmHw/viewform</t>
  </si>
  <si>
    <t>Phòng Tổ chức cán bộ</t>
  </si>
  <si>
    <t>https://docs.google.com/forms/d/e/1FAIpQLScrk8I0DGDZfnHuxXKvw-4sHTD4GNd-GBOTp3x-kWgzFNr87A/viewform</t>
  </si>
  <si>
    <t>Phòng Vật tư thiết bị y tế</t>
  </si>
  <si>
    <t>https://docs.google.com/forms/d/e/1FAIpQLSc1u6-ptFoeBlT4n8GG8-9eyyQ43LP2uk4ikfMSFf-YlfGixw/viewform</t>
  </si>
  <si>
    <t>Phòng Điều dưỡng</t>
  </si>
  <si>
    <t>https://docs.google.com/forms/d/e/1FAIpQLSeubWgiuqrYbtr9CtugInXhXYvP4t8mY0wIxsvTluKVL5Ac-w/viewform</t>
  </si>
  <si>
    <t>Dấu thời gian</t>
  </si>
  <si>
    <t>XÁC NHẬN THÀNH VIÊN ĐOÀN 02 THỰC HIỆN CHẤM ĐIỂM</t>
  </si>
  <si>
    <t>Tiêu chí 4: Nhân viên có mặt đúng giờ, đúng vị trí; trang phục, bảng tên, giao tiếp, tác phong hành chính đúng quy định.
- Minh chứng: Bảng chấm công, lịch trực/làm việc, quan sát trực tiếp</t>
  </si>
  <si>
    <t>Tiêu chí 5: Không sử dụng thời gian làm việc cho việc cá nhân không phù hợp nhiệm vụ; không để tồn đọng công việc do lỗi chủ quan.
- Minh chứng: Quan sát, phản ánh, hồ sơ công việc tồn đọng, biên bản nhắc nhở</t>
  </si>
  <si>
    <t>Ghi chú / Phát hiện / Yêu cầu khắc phục của Bà Phan Hồng Trên</t>
  </si>
  <si>
    <t>Tiêu chí 2: Thực hiện báo cáo định kỳ/đột xuất đúng thời hạn, đúng biểu mẫu, số liệu thống nhất với hồ sơ gốc.
- Minh chứng: Báo cáo tháng/quý, sổ giao nhận, email/văn bản gửi, file dữ liệu</t>
  </si>
  <si>
    <t>Tiêu chí 3: Lưu trữ văn bản, hồ sơ, sổ sách của phòng đầy đủ, dễ tra cứu, có phân loại và kiểm soát phiên bản.
- Minh chứng: Hồ sơ lưu, danh mục hồ sơ, bìa hồ sơ, file điện tử</t>
  </si>
  <si>
    <t>Ghi chú / Phát hiện / Yêu cầu khắc phục của Bà Trần Kim Diệu</t>
  </si>
  <si>
    <t>Tiêu chí 1: Có kế hoạch công tác tháng/tuần, phân công nhiệm vụ cụ thể, cập nhật tiến độ thực hiện và có bằng chứng điều hành.
- Minh chứng: Kế hoạch công tác, lịch phân công, biên bản giao ban, bảng theo dõi tiến độ</t>
  </si>
  <si>
    <t>Ghi chú / Phát hiện / Yêu cầu khắc phục của Bà Trần Thiên Lý</t>
  </si>
  <si>
    <t>Tiêu chí 10: Quản lý, sử dụng tài sản công, trang thiết bị, vật tư văn phòng tiết kiệm; có sổ theo dõi và bàn giao khi thay đổi người sử dụng.
- Minh chứng: Sổ tài sản, biên bản bàn giao, phiếu cấp phát, kiểm kê</t>
  </si>
  <si>
    <t>Tiêu chí 11: Thực hiện tiết kiệm điện, nước, văn phòng phẩm; khu vực làm việc gọn gàng, xanh - sạch - đẹp, không nguy cơ cháy nổ.
- Minh chứng: Quan sát thực tế, bảng nhắc tiết kiệm, tình trạng ổ điện, vật dụng</t>
  </si>
  <si>
    <t>Tiêu chí 12: Chấp hành quy định an toàn, trật tự, kiểm soát ra vào; phối hợp ngăn ngừa buôn bán, quảng cáo hàng rong, taxi/xe dịch vụ chèo kéo trong phạm vi quản lý.
- Minh chứng: Quan sát, phản ánh, biên bản xử lý, phối hợp bảo vệ</t>
  </si>
  <si>
    <t>Ghi chú / Phát hiện / Yêu cầu khắc phục của Ông Dương Quốc Huy</t>
  </si>
  <si>
    <t>Tiêu chí 13: Khu vực làm việc, kho hồ sơ, nơi tiếp nhận người bệnh/người nhà nếu có bảo đảm vệ sinh, phân loại rác, phòng chống lây nhiễm phù hợp.
- Minh chứng: Quan sát, thùng rác, vệ sinh bề mặt, hướng dẫn vệ sinh tay</t>
  </si>
  <si>
    <t>Tiêu chí 14: Khi tiếp xúc người bệnh/người nhà/nhân viên, thực hiện giao tiếp ứng xử đúng quy định, hướng dẫn rõ ràng, tôn trọng và bảo mật thông tin.
- Minh chứng: Quan sát, phản ánh, phiếu khảo sát, hồ sơ tiếp nhận xử lý</t>
  </si>
  <si>
    <t>Tiêu chí 16: Tham mưu quản lý công tác điều dưỡng, hộ sinh, kỹ thuật viên; kiểm tra thực hiện quy trình chăm sóc tại khoa lâm sàng/cận lâm sàng.
- Minh chứng: Kế hoạch điều dưỡng, biên bản giám sát, bảng kiểm chăm sóc</t>
  </si>
  <si>
    <t>Tiêu chí 17: Theo dõi tuân thủ 5 đúng, 3 kiểm tra, 5 đối chiếu, nhận diện người bệnh, phòng ngừa té ngã và bàn giao người bệnh.
- Minh chứng: Bảng kiểm điều dưỡng, hồ sơ chăm sóc, phiếu nguy cơ té ngã</t>
  </si>
  <si>
    <t>Tiêu chí 18: Tổ chức đào tạo, kiểm tra tay nghề, giao tiếp ứng xử và giáo dục sức khỏe cho người bệnh/người nhà.
- Minh chứng: Kế hoạch đào tạo, danh sách tham dự, tài liệu giáo dục sức khỏe</t>
  </si>
  <si>
    <t>Tiêu chí 20: Giám sát vệ sinh tay, phương tiện phòng hộ, xử lý dụng cụ và phối hợp KSNK trong toàn viện.
- Minh chứng: Bảng kiểm vệ sinh tay, PPE, biên bản phối hợp KSNK</t>
  </si>
  <si>
    <t>Ghi chú / Phát hiện / Yêu cầu khắc phục của Ông Trương Văn Khanh</t>
  </si>
  <si>
    <t>Tiêu chí 6: Có theo dõi chỉ tiêu/KPI/BI được giao; phát hiện vấn đề và đề xuất cải tiến trong phạm vi chức năng.
- Minh chứng: Bảng theo dõi KPI/BI, báo cáo phân tích, kế hoạch cải tiến</t>
  </si>
  <si>
    <t>Tiêu chí 7: Thực hiện khắc phục sau kiểm tra/giám sát đúng thời hạn; có bằng chứng CAPA và đánh giá hiệu lực.
- Minh chứng: Biên bản kiểm tra, kế hoạch CAPA, minh chứng hoàn thành</t>
  </si>
  <si>
    <t>Tiêu chí 8: Tuân thủ bảo mật thông tin, không chia sẻ tài khoản/mật khẩu; dữ liệu, văn bản điện tử được phân quyền và sao lưu phù hợp.
- Minh chứng: Tài khoản phần mềm, phân quyền, nhật ký truy cập, hồ sơ sao lưu</t>
  </si>
  <si>
    <t>Tiêu chí 9: Máy tính, phần mềm, email công vụ và thiết bị lưu trữ được sử dụng đúng mục đích; không cài đặt phần mềm không rõ nguồn gốc.
- Minh chứng: Kiểm tra máy trạm, phần mềm, email, USB/ổ cứng nếu có</t>
  </si>
  <si>
    <t>Tiêu chí 15: Có ghi nhận, xử lý phản ánh, kiến nghị, khảo sát sự hài lòng liên quan đến phạm vi phòng; chuyển đúng đầu mối khi vượt thẩm quyền.
- Minh chứng: Sổ/phần mềm phản ánh, phiếu khảo sát, biên bản xử lý</t>
  </si>
  <si>
    <t>Tiêu chí 19: Theo dõi chỉ số điều dưỡng, sự cố liên quan chăm sóc, phản ánh người bệnh và đề xuất cải tiến.
- Minh chứng: Báo cáo chỉ số điều dưỡng, sự cố, phản ánh, CAPA</t>
  </si>
  <si>
    <t>Ghi chú / Phát hiện / Yêu cầu khắc phục của Ông Trần Việt Hùng</t>
  </si>
  <si>
    <t>TỔNG ĐIỂM PHÒNG</t>
  </si>
  <si>
    <t>TỔNG HỢP NHẬN XÉT</t>
  </si>
  <si>
    <t>Tiêu chí 16: Quản lý hồ sơ viên chức/người lao động đầy đủ, cập nhật, bảo mật và dễ truy xuất khi cần.
- Minh chứng: Hồ sơ nhân sự, danh mục hồ sơ, phân quyền lưu trữ</t>
  </si>
  <si>
    <t>Tiêu chí 17: Theo dõi chấm công, nghỉ phép, trực, ra trực, kỷ luật lao động và tham mưu xử lý đúng quy định.
- Minh chứng: Bảng chấm công, đơn phép, lịch trực, biên bản xử lý</t>
  </si>
  <si>
    <t>Tiêu chí 18: Tham mưu tuyển dụng, bổ nhiệm, điều động, đánh giá, đào tạo theo vị trí việc làm và nhu cầu bệnh viện.
- Minh chứng: Kế hoạch nhân sự, hồ sơ tuyển dụng/bổ nhiệm/đào tạo</t>
  </si>
  <si>
    <t>Tiêu chí 19: Báo cáo nhân lực, cơ cấu chuyên môn, chứng chỉ hành nghề, đào tạo liên tục chính xác và đúng hạn.
- Minh chứng: Báo cáo nhân sự, danh sách chứng chỉ, CME, văn bản gửi cấp trên</t>
  </si>
  <si>
    <t>Tiêu chí 20: Bảo mật dữ liệu nhân sự, tiền lương, đánh giá, kỷ luật; không cung cấp thông tin khi chưa đúng thẩm quyền.
- Minh chứng: Hồ sơ phân quyền, nhật ký cung cấp thông tin, quy trình bảo mật</t>
  </si>
  <si>
    <t>Tiêu chí 16: Lập kế hoạch, theo dõi cung ứng vật tư, hóa chất, trang thiết bị y tế phù hợp nhu cầu chuyên môn và dự trù được duyệt.
- Minh chứng: Kế hoạch mua sắm, dự trù, phiếu cấp phát, báo cáo tồn kho</t>
  </si>
  <si>
    <t>Tiêu chí 17: Quản lý hồ sơ thiết bị y tế: lý lịch máy, bảo trì, bảo dưỡng, hiệu chuẩn/kiểm định và tình trạng sử dụng.
- Minh chứng: Lý lịch máy, hợp đồng bảo trì, tem kiểm định, biên bản sửa chữa</t>
  </si>
  <si>
    <t>Tiêu chí 18: Kiểm soát nhập - xuất - tồn vật tư, hóa chất, hạn dùng, điều kiện bảo quản và cảnh báo thiếu/hết hàng.
- Minh chứng: Sổ kho, phần mềm, thẻ kho, biên bản kiểm kê, cảnh báo tồn</t>
  </si>
  <si>
    <t>Ghi chú / Phát hiện / Yêu cầu khắc phục của Bà Lưu Thị Thu Cầm</t>
  </si>
  <si>
    <t>Tiêu chí 19: Phối hợp khoa/phòng xử lý hỏng hóc trang thiết bị, vật tư không phù hợp và đề xuất thay thế/sửa chữa kịp thời.
- Minh chứng: Phiếu báo hỏng, biên bản đánh giá, đề xuất sửa chữa/thay thế</t>
  </si>
  <si>
    <t>Tiêu chí 20: Bảo mật hồ sơ đấu thầu, mua sắm, báo giá, hợp đồng và dữ liệu tồn kho theo phân quyền.
- Minh chứng: Hồ sơ mua sắm, phân quyền thư mục/phần mềm, nhật ký truy cập</t>
  </si>
  <si>
    <t>Tiêu chí 16: Thực hiện thu, chi, hạch toán, quyết toán, báo cáo tài chính, báo cáo bảo hiểm đúng quy định và đúng thời hạn.
- Minh chứng: Báo cáo tài chính, chứng từ, sổ kế toán, báo cáo BHYT</t>
  </si>
  <si>
    <t>Tiêu chí 17: Kiểm soát viện phí, tạm ứng, hoàn ứng, miễn giảm và công khai tài chính theo quy định.
- Minh chứng: Biên lai, bảng kê, hồ sơ miễn giảm, công khai tài chính</t>
  </si>
  <si>
    <t>Tiêu chí 18: Quản lý tài sản, công cụ dụng cụ về mặt giá trị, kiểm kê, thanh lý, mua sắm phối hợp đúng quy trình.
- Minh chứng: Biên bản kiểm kê, hồ sơ thanh lý, phiếu nhập xuất, phối hợp VT-HCQT</t>
  </si>
  <si>
    <t>Tiêu chí 19: Bảo mật dữ liệu tài chính, viện phí, BHYT; phân quyền phần mềm và sao lưu dữ liệu kế toán.
- Minh chứng: Phân quyền phần mềm, nhật ký truy cập, hồ sơ sao lưu</t>
  </si>
  <si>
    <t>Tiêu chí 20: Theo dõi phản ánh liên quan thu viện phí, thanh toán, hướng dẫn người bệnh; xử lý sai sót kịp thời.
- Minh chứng: Sổ phản ánh, biên bản xử lý, điều chỉnh hóa đơn/biên lai nếu có</t>
  </si>
  <si>
    <t>Tiêu chí 16: Tham mưu và theo dõi kế hoạch cải tiến chất lượng bệnh viện; có chỉ số, mục tiêu, tiến độ và minh chứng kết quả.
- Minh chứng: Kế hoạch QLCL, đề án cải tiến, bảng theo dõi chỉ số</t>
  </si>
  <si>
    <t>Tiêu chí 17: Quản lý sự cố y khoa, nguy cơ mất an toàn người bệnh, báo cáo và phân tích nguyên nhân gốc theo quy định.
- Minh chứng: Sổ/phần mềm sự cố, báo cáo phân tích, biên bản họp</t>
  </si>
  <si>
    <t>Tiêu chí 18: Tổ chức khảo sát hài lòng người bệnh, người nhà và nhân viên; phân tích, phản hồi, đề xuất cải tiến.
- Minh chứng: Phiếu khảo sát, dữ liệu tổng hợp, báo cáo phân tích, kế hoạch cải tiến</t>
  </si>
  <si>
    <t>Tiêu chí 19: Theo dõi Bộ tiêu chí chất lượng bệnh viện, chuẩn bị minh chứng và cảnh báo tiêu chí nguy cơ tụt mức.
- Minh chứng: Bảng tự đánh giá tiêu chí, minh chứng, kế hoạch duy trì/cải tiến</t>
  </si>
  <si>
    <t>Tiêu chí 20: Bảo mật dữ liệu khảo sát, sự cố và hồ sơ chất lượng; phân quyền, lưu trữ và công bố thông tin đúng quy định.
- Minh chứng: Thư mục dữ liệu, phân quyền truy cập, hồ sơ công bố</t>
  </si>
  <si>
    <t>Tiêu chí 16: Tham mưu kế hoạch hoạt động bệnh viện, kế hoạch chuyên môn, giao ban, chỉ tiêu chuyên môn đúng tiến độ và phù hợp thực tế.
- Minh chứng: Kế hoạch năm/quý/tháng, biên bản giao ban, chỉ tiêu chuyên môn</t>
  </si>
  <si>
    <t>Tiêu chí 18: Theo dõi hồ sơ bệnh án, mã hóa bệnh, ngày điều trị, chuyển tuyến, nhập/xuất viện và các chỉ số chuyên môn trọng yếu.
- Minh chứng: Báo cáo HSBA, trích xuất HIS, danh sách kiểm tra</t>
  </si>
  <si>
    <t>Tiêu chí 20: Phối hợp chỉ đạo tuyến, đào tạo, hội chẩn/chuyển tuyến, phòng chống dịch và các nhiệm vụ chuyên môn liên khoa đúng phân công.
- Minh chứng: Kế hoạch, báo cáo, biên bản phối hợp, hồ sơ chỉ đạo tuyến</t>
  </si>
  <si>
    <t>Ghi chú / Phát hiện / Yêu cầu khắc phục của Bà Huỳnh Thúy Hằng</t>
  </si>
  <si>
    <t>Tiêu chí 17: Tổng hợp số liệu hoạt động khám chữa bệnh, thống kê báo cáo cấp trên chính xác, thống nhất giữa HIS, khoa phòng và báo cáo gửi đi.
- Minh chứng: Báo cáo KHTH, dữ liệu HIS, bảng đối chiếu, văn bản gửi SYT/BYT</t>
  </si>
  <si>
    <t>Tiêu chí 19: Điều phối công tác kiểm tra hoạt động bệnh viện; tổng hợp biên bản, kiến nghị và theo dõi khắc phục sau kiểm tra.
- Minh chứng: Lịch kiểm tra, biên bản, bảng tổng hợp CAPA, báo cáo BGĐ</t>
  </si>
  <si>
    <t>Tiêu chí 16: Quản lý công văn, văn thư, lưu trữ, con dấu và phát hành văn bản đúng quy trình, đúng thẩm quyền.
- Minh chứng: Sổ công văn, hồ sơ văn thư, sổ đóng dấu, quy trình phát hành</t>
  </si>
  <si>
    <t>Tiêu chí 17: Quản lý cơ sở vật chất, điện nước, sửa chữa, bảo trì, phương tiện, tổ xe, tổ bảo vệ theo kế hoạch.
- Minh chứng: Kế hoạch bảo trì, phiếu sửa chữa, sổ xe, lịch trực bảo vệ</t>
  </si>
  <si>
    <t>Tiêu chí 18: Tổ chức an ninh trật tự, kiểm soát cổng, bãi xe, hàng rong, quảng cáo, taxi/xe dịch vụ; xử lý phản ánh kịp thời.
- Minh chứng: Sổ trực bảo vệ, biên bản xử lý, camera, phản ánh người bệnh</t>
  </si>
  <si>
    <t>Tiêu chí 20: Có phương án phòng cháy chữa cháy, an toàn điện, thang máy, thiên tai và sự cố hạ tầng; diễn tập/kiểm tra định kỳ.
- Minh chứng: Hồ sơ PCCC, sổ kiểm tra thang máy/điện, phương án ứng phó</t>
  </si>
  <si>
    <t>Tiêu chí 19: Giám sát vệ sinh ngoại cảnh, nhà vệ sinh, hành lang, khu công cộng; bảo đảm xanh - sạch - đẹp toàn viện.
- Minh chứng: Lịch vệ sinh, biên bản giám sát, hình ảnh, phản ánh</t>
  </si>
  <si>
    <t>Tiêu chí 18: Quản lý hoạt động thiện nguyện, quà tặng, tài trợ, hỗ trợ bệnh nhân đúng quy định, công khai và minh bạch.
- Minh chứng: Biên bản tiếp nhận, danh sách cấp phát, hồ sơ tài trợ, công khai</t>
  </si>
  <si>
    <t>Tiêu chí 19: Phối hợp hướng dẫn giờ thăm nuôi, trật tự khoa phòng, phòng chống chèo kéo, quảng cáo, bán hàng rong, taxi không đúng quy định.
- Minh chứng: Biên bản phối hợp, nội dung truyền thông, phản ánh, quan sát</t>
  </si>
  <si>
    <t>Tiêu chí 16: Tổ chức tiếp nhận, hỗ trợ, tư vấn, hướng dẫn người bệnh/người nhà; ghi nhận đầy đủ trường hợp cần hỗ trợ xã hội.
- Minh chứng: Sổ CTXH, hồ sơ hỗ trợ, danh sách người bệnh cần hỗ trợ</t>
  </si>
  <si>
    <t>Tiêu chí 17: Phối hợp khảo sát hài lòng, tiếp nhận phản ánh, truyền thông giáo dục sức khỏe và cải thiện trải nghiệm người bệnh.
- Minh chứng: Phiếu khảo sát, sổ phản ánh, kế hoạch truyền thông, báo cáo</t>
  </si>
  <si>
    <t>Tiêu chí 20: Bảo mật thông tin người bệnh, hoàn cảnh xã hội, hình ảnh truyền thông; chỉ sử dụng khi có sự đồng ý/thẩm quyền.
- Minh chứng: Phiếu đồng ý, hồ sơ truyền thông, phân quyền dữ liệu</t>
  </si>
  <si>
    <t>PHIẾU KIỂM TRA VÀ CHẤM ĐIỂM KHỐI HÀNH CHÍNH - BỆNH VIỆN SẢN NHI CÀ MAU</t>
  </si>
  <si>
    <t>Thang điểm 100: 20 nội dung × 05 điểm; có phân công người phụ trách chấm điểm của Đoàn 01 và Đoàn 02.</t>
  </si>
  <si>
    <t>Khối</t>
  </si>
  <si>
    <t>Tên phòng</t>
  </si>
  <si>
    <t>Tên sheet</t>
  </si>
  <si>
    <t>Số nội dung</t>
  </si>
  <si>
    <t>Tổng điểm</t>
  </si>
  <si>
    <t>Phòng chức năng</t>
  </si>
  <si>
    <t>P_KHTH</t>
  </si>
  <si>
    <t>P_QLCL</t>
  </si>
  <si>
    <t>P_TCCB</t>
  </si>
  <si>
    <t>P_HCQT</t>
  </si>
  <si>
    <t>P_DIEU_DUONG</t>
  </si>
  <si>
    <t>P_TCKT</t>
  </si>
  <si>
    <t>P_VTTBYT</t>
  </si>
  <si>
    <t>P_CTXH</t>
  </si>
  <si>
    <t>Nội dung</t>
  </si>
  <si>
    <t>Hướng dẫn</t>
  </si>
  <si>
    <t>Phạm vi</t>
  </si>
  <si>
    <t>Áp dụng cho 08 phòng chức năng khối hành chính của Bệnh viện Sản - Nhi Cà Mau.</t>
  </si>
  <si>
    <t>Thang điểm</t>
  </si>
  <si>
    <t>Mỗi phiếu gồm 20 nội dung, mỗi nội dung tối đa 05 điểm, tổng 100 điểm.</t>
  </si>
  <si>
    <t>Cách chấm</t>
  </si>
  <si>
    <t>0 điểm: không thực hiện/không có minh chứng; 1-2 điểm: thực hiện rất hạn chế; 3 điểm: đạt mức tối thiểu; 4 điểm: đạt tốt nhưng còn điểm nhỏ; 5 điểm: đạt đầy đủ, có minh chứng rõ.</t>
  </si>
  <si>
    <t>Xếp loại</t>
  </si>
  <si>
    <t>≥90: Tốt; 80-&lt;90: Khá; 65-&lt;80: Đạt; &lt;65: Chưa đạt/cần khắc phục ưu tiên.</t>
  </si>
  <si>
    <t>Nguyên tắc</t>
  </si>
  <si>
    <t>Không chấm hình thức; mọi điểm trừ phải ghi phát hiện, minh chứng, yêu cầu khắc phục, thời hạn và bộ phận chịu trách nhiệm.</t>
  </si>
  <si>
    <t>Phân công</t>
  </si>
  <si>
    <t>Tên người phụ trách Đoàn 01 và Đoàn 02 được ghi tại từng nội dung để thuận tiện phân công khi đi kiểm tra.</t>
  </si>
  <si>
    <t>Đoàn</t>
  </si>
  <si>
    <t>Họ và tên</t>
  </si>
  <si>
    <t>Chức vụ/đơn vị</t>
  </si>
  <si>
    <t>Vai trò</t>
  </si>
  <si>
    <t>Nhóm nội dung phụ trách chính</t>
  </si>
  <si>
    <t>Đoàn 01</t>
  </si>
  <si>
    <t>Ông Nguyễn Việt Trí</t>
  </si>
  <si>
    <t>Trưởng phòng Kế hoạch tổng hợp</t>
  </si>
  <si>
    <t>Trưởng đoàn</t>
  </si>
  <si>
    <t>Quản trị, KHTH, chuyên môn phối hợp, hồ sơ/báo cáo</t>
  </si>
  <si>
    <t>Ông Triệu Quốc Nhượng</t>
  </si>
  <si>
    <t>Trưởng phòng Điều dưỡng</t>
  </si>
  <si>
    <t>Phó Trưởng đoàn</t>
  </si>
  <si>
    <t>Nhân lực điều dưỡng, giao tiếp, chăm sóc phục vụ</t>
  </si>
  <si>
    <t>Ông Đỗ Văn Dương</t>
  </si>
  <si>
    <t>Trưởng phòng Hành chính quản trị</t>
  </si>
  <si>
    <t>Thành viên</t>
  </si>
  <si>
    <t>Hành chính, tài sản, an ninh trật tự, cơ sở vật chất</t>
  </si>
  <si>
    <t>Ông Trịnh Như Anh</t>
  </si>
  <si>
    <t>Phó Trưởng khoa Dược</t>
  </si>
  <si>
    <t>Dược, vật tư, cấp phát, quản lý kho liên quan</t>
  </si>
  <si>
    <t>Ông Bùi Duy Bình</t>
  </si>
  <si>
    <t>Tổ trưởng tổ Công nghệ thông tin</t>
  </si>
  <si>
    <t>CNTT, bảo mật, an toàn thông tin mạng</t>
  </si>
  <si>
    <t>Ông Lý Quốc Tuyển</t>
  </si>
  <si>
    <t>Điều dưỡng trưởng Khoa KSNK</t>
  </si>
  <si>
    <t>Kiểm soát nhiễm khuẩn, vệ sinh, chất thải</t>
  </si>
  <si>
    <t>Ông Nguyễn Chí Nguyện</t>
  </si>
  <si>
    <t>Phó trưởng khoa Truyền Nhiễm</t>
  </si>
  <si>
    <t>Chuyên môn phối hợp, phòng chống dịch, an toàn người bệnh</t>
  </si>
  <si>
    <t>Bà Nguyễn Thị Lam</t>
  </si>
  <si>
    <t>Thư ký</t>
  </si>
  <si>
    <t>Thư ký, hồ sơ kiểm tra, tổng hợp biên bản</t>
  </si>
  <si>
    <t>Đoàn 02</t>
  </si>
  <si>
    <t>Bà Trần Thiên Lý</t>
  </si>
  <si>
    <t>Phó Giám đốc</t>
  </si>
  <si>
    <t>Chỉ đạo chung, quản trị điều hành, xử lý nguy cơ</t>
  </si>
  <si>
    <t>Bà Phan Hồng Trên</t>
  </si>
  <si>
    <t>Phó phụ trách Phòng Tổ chức cán bộ</t>
  </si>
  <si>
    <t>Nhân sự, kỷ luật lao động, chấm công</t>
  </si>
  <si>
    <t>Bà Lưu Thị Thu Cầm</t>
  </si>
  <si>
    <t>Trưởng phòng Vật tư trang thiết bị y tế</t>
  </si>
  <si>
    <t>Vật tư, trang thiết bị, hóa chất, bảo trì</t>
  </si>
  <si>
    <t>Ông Trần Việt Hùng</t>
  </si>
  <si>
    <t>Phụ trách phòng Quản lý chất lượng</t>
  </si>
  <si>
    <t>Quản lý chất lượng, sự cố, hài lòng, bảo mật dữ liệu QLCL</t>
  </si>
  <si>
    <t>Ông Dương Quốc Huy</t>
  </si>
  <si>
    <t>Phó Trưởng phòng Hành chánh quản trị</t>
  </si>
  <si>
    <t>Hành chính, cơ sở vật chất, an ninh trật tự</t>
  </si>
  <si>
    <t>Bà Huỳnh Thúy Hằng</t>
  </si>
  <si>
    <t>Trưởng khoa Cấp cứu Nhi</t>
  </si>
  <si>
    <t>Chuyên môn phối hợp, cấp cứu, an toàn người bệnh</t>
  </si>
  <si>
    <t>Ông Trương Văn Khanh</t>
  </si>
  <si>
    <t>Điều dưỡng trưởng khoa Cấp cứu Nhi</t>
  </si>
  <si>
    <t>Điều dưỡng, KSNK, an toàn người bệnh</t>
  </si>
  <si>
    <t>Bà Trần Kim Diệu</t>
  </si>
  <si>
    <t>Thư ký, tổng hợp QLCL, phiếu khảo sát/biên bản</t>
  </si>
  <si>
    <t>Căn cứ/nguồn tham khảo</t>
  </si>
  <si>
    <t>Ghi chú</t>
  </si>
  <si>
    <t>Quyết định thành lập 02 Đoàn kiểm tra hoạt động Bệnh viện năm 2026 của Bệnh viện Sản - Nhi Cà Mau</t>
  </si>
  <si>
    <t>Nguồn thành viên, vai trò và nguyên tắc hoạt động 02 đoàn</t>
  </si>
  <si>
    <t>File 1405_03_thanh vien_Lich_kiem_tra_va_bang_kiem_HDBV_2026</t>
  </si>
  <si>
    <t>Nguồn cấu trúc lịch, bảng kiểm chung và phân công thành viên phụ trách</t>
  </si>
  <si>
    <t>Quy chế bệnh viện ban hành kèm Quyết định 1895/1997/BYT-QĐ</t>
  </si>
  <si>
    <t>Căn cứ quy chế hoạt động và quản lý bệnh viện</t>
  </si>
  <si>
    <t>Luật Khám bệnh, chữa bệnh năm 2023 và văn bản hướng dẫn</t>
  </si>
  <si>
    <t>Căn cứ chung về hoạt động khám bệnh, chữa bệnh</t>
  </si>
  <si>
    <t>Thông tư 19/2013/TT-BYT</t>
  </si>
  <si>
    <t>Quản lý chất lượng dịch vụ khám bệnh, chữa bệnh</t>
  </si>
  <si>
    <t>Thông tư 43/2018/TT-BYT</t>
  </si>
  <si>
    <t>Phòng ngừa sự cố y khoa</t>
  </si>
  <si>
    <t>Bộ tiêu chí chất lượng bệnh viện Việt Nam ban hành kèm Quyết định 6858/QĐ-BYT và văn bản cập nhật</t>
  </si>
  <si>
    <t>Tham chiếu tiêu chí chất lượng, an toàn người bệnh, hài lòng</t>
  </si>
  <si>
    <t>PHIẾU KIỂM TRA VÀ CHẤM ĐIỂM - PHÒNG KẾ HOẠCH TỔNG HỢP</t>
  </si>
  <si>
    <t>Thang điểm 100 điểm: 20 nội dung × 05 điểm. Đơn vị: Phòng Kế hoạch tổng hợp. Ngày kiểm tra: ........../........../2026</t>
  </si>
  <si>
    <t>Đoàn kiểm tra</t>
  </si>
  <si>
    <t>Đơn vị được kiểm tra</t>
  </si>
  <si>
    <t>Trưởng khoa/phòng tiếp đoàn</t>
  </si>
  <si>
    <t>Đoàn 01 / Đoàn 02</t>
  </si>
  <si>
    <t>................................</t>
  </si>
  <si>
    <t>Mã nhóm</t>
  </si>
  <si>
    <t>Nhóm nội dung</t>
  </si>
  <si>
    <t>Nội dung kiểm tra/chấm điểm</t>
  </si>
  <si>
    <t>Minh chứng cần xem</t>
  </si>
  <si>
    <t>Điểm tối đa</t>
  </si>
  <si>
    <t>Điểm đạt</t>
  </si>
  <si>
    <t>Tỷ lệ đạt</t>
  </si>
  <si>
    <t>Thành viên phụ trách Đoàn 01</t>
  </si>
  <si>
    <t>Thành viên phụ trách Đoàn 02</t>
  </si>
  <si>
    <t>Lý do trừ điểm / phát hiện</t>
  </si>
  <si>
    <t>Yêu cầu khắc phục</t>
  </si>
  <si>
    <t>Thời hạn</t>
  </si>
  <si>
    <t>Bộ phận chịu trách nhiệm</t>
  </si>
  <si>
    <t>A</t>
  </si>
  <si>
    <t>Quản trị điều hành</t>
  </si>
  <si>
    <t>Có kế hoạch công tác tháng/tuần, phân công nhiệm vụ cụ thể, cập nhật tiến độ thực hiện và có bằng chứng điều hành.</t>
  </si>
  <si>
    <t>Kế hoạch công tác, lịch phân công, biên bản giao ban, bảng theo dõi tiến độ</t>
  </si>
  <si>
    <t>Báo cáo - thống kê</t>
  </si>
  <si>
    <t>Thực hiện báo cáo định kỳ/đột xuất đúng thời hạn, đúng biểu mẫu, số liệu thống nhất với hồ sơ gốc.</t>
  </si>
  <si>
    <t>Báo cáo tháng/quý, sổ giao nhận, email/văn bản gửi, file dữ liệu</t>
  </si>
  <si>
    <t>Thư ký - hồ sơ</t>
  </si>
  <si>
    <t>Lưu trữ văn bản, hồ sơ, sổ sách của phòng đầy đủ, dễ tra cứu, có phân loại và kiểm soát phiên bản.</t>
  </si>
  <si>
    <t>Hồ sơ lưu, danh mục hồ sơ, bìa hồ sơ, file điện tử</t>
  </si>
  <si>
    <t>B</t>
  </si>
  <si>
    <t>Nhân sự - kỷ luật</t>
  </si>
  <si>
    <t>Nhân viên có mặt đúng giờ, đúng vị trí; trang phục, bảng tên, giao tiếp, tác phong hành chính đúng quy định.</t>
  </si>
  <si>
    <t>Bảng chấm công, lịch trực/làm việc, quan sát trực tiếp</t>
  </si>
  <si>
    <t>Không sử dụng thời gian làm việc cho việc cá nhân không phù hợp nhiệm vụ; không để tồn đọng công việc do lỗi chủ quan.</t>
  </si>
  <si>
    <t>Quan sát, phản ánh, hồ sơ công việc tồn đọng, biên bản nhắc nhở</t>
  </si>
  <si>
    <t>C</t>
  </si>
  <si>
    <t>Quản lý chất lượng</t>
  </si>
  <si>
    <t>Có theo dõi chỉ tiêu/KPI/BI được giao; phát hiện vấn đề và đề xuất cải tiến trong phạm vi chức năng.</t>
  </si>
  <si>
    <t>Bảng theo dõi KPI/BI, báo cáo phân tích, kế hoạch cải tiến</t>
  </si>
  <si>
    <t>Thực hiện khắc phục sau kiểm tra/giám sát đúng thời hạn; có bằng chứng CAPA và đánh giá hiệu lực.</t>
  </si>
  <si>
    <t>Biên bản kiểm tra, kế hoạch CAPA, minh chứng hoàn thành</t>
  </si>
  <si>
    <t>D</t>
  </si>
  <si>
    <t>CNTT - bảo mật</t>
  </si>
  <si>
    <t>Tuân thủ bảo mật thông tin, không chia sẻ tài khoản/mật khẩu; dữ liệu, văn bản điện tử được phân quyền và sao lưu phù hợp.</t>
  </si>
  <si>
    <t>Tài khoản phần mềm, phân quyền, nhật ký truy cập, hồ sơ sao lưu</t>
  </si>
  <si>
    <t>Máy tính, phần mềm, email công vụ và thiết bị lưu trữ được sử dụng đúng mục đích; không cài đặt phần mềm không rõ nguồn gốc.</t>
  </si>
  <si>
    <t>Kiểm tra máy trạm, phần mềm, email, USB/ổ cứng nếu có</t>
  </si>
  <si>
    <t>E</t>
  </si>
  <si>
    <t>Hành chính - tài sản</t>
  </si>
  <si>
    <t>Quản lý, sử dụng tài sản công, trang thiết bị, vật tư văn phòng tiết kiệm; có sổ theo dõi và bàn giao khi thay đổi người sử dụng.</t>
  </si>
  <si>
    <t>Sổ tài sản, biên bản bàn giao, phiếu cấp phát, kiểm kê</t>
  </si>
  <si>
    <t>Thực hiện tiết kiệm điện, nước, văn phòng phẩm; khu vực làm việc gọn gàng, xanh - sạch - đẹp, không nguy cơ cháy nổ.</t>
  </si>
  <si>
    <t>Quan sát thực tế, bảng nhắc tiết kiệm, tình trạng ổ điện, vật dụng</t>
  </si>
  <si>
    <t>F</t>
  </si>
  <si>
    <t>An ninh trật tự</t>
  </si>
  <si>
    <t>Chấp hành quy định an toàn, trật tự, kiểm soát ra vào; phối hợp ngăn ngừa buôn bán, quảng cáo hàng rong, taxi/xe dịch vụ chèo kéo trong phạm vi quản lý.</t>
  </si>
  <si>
    <t>Quan sát, phản ánh, biên bản xử lý, phối hợp bảo vệ</t>
  </si>
  <si>
    <t>KSNK - vệ sinh</t>
  </si>
  <si>
    <t>Khu vực làm việc, kho hồ sơ, nơi tiếp nhận người bệnh/người nhà nếu có bảo đảm vệ sinh, phân loại rác, phòng chống lây nhiễm phù hợp.</t>
  </si>
  <si>
    <t>Quan sát, thùng rác, vệ sinh bề mặt, hướng dẫn vệ sinh tay</t>
  </si>
  <si>
    <t>G</t>
  </si>
  <si>
    <t>Điều dưỡng - phục vụ</t>
  </si>
  <si>
    <t>Khi tiếp xúc người bệnh/người nhà/nhân viên, thực hiện giao tiếp ứng xử đúng quy định, hướng dẫn rõ ràng, tôn trọng và bảo mật thông tin.</t>
  </si>
  <si>
    <t>Quan sát, phản ánh, phiếu khảo sát, hồ sơ tiếp nhận xử lý</t>
  </si>
  <si>
    <t>Có ghi nhận, xử lý phản ánh, kiến nghị, khảo sát sự hài lòng liên quan đến phạm vi phòng; chuyển đúng đầu mối khi vượt thẩm quyền.</t>
  </si>
  <si>
    <t>Sổ/phần mềm phản ánh, phiếu khảo sát, biên bản xử lý</t>
  </si>
  <si>
    <t>H</t>
  </si>
  <si>
    <t>Chuyên môn phối hợp</t>
  </si>
  <si>
    <t>Tham mưu kế hoạch hoạt động bệnh viện, kế hoạch chuyên môn, giao ban, chỉ tiêu chuyên môn đúng tiến độ và phù hợp thực tế.</t>
  </si>
  <si>
    <t>Kế hoạch năm/quý/tháng, biên bản giao ban, chỉ tiêu chuyên môn</t>
  </si>
  <si>
    <t>Tổng hợp số liệu hoạt động khám chữa bệnh, thống kê báo cáo cấp trên chính xác, thống nhất giữa HIS, khoa phòng và báo cáo gửi đi.</t>
  </si>
  <si>
    <t>Báo cáo KHTH, dữ liệu HIS, bảng đối chiếu, văn bản gửi SYT/BYT</t>
  </si>
  <si>
    <t>Theo dõi hồ sơ bệnh án, mã hóa bệnh, ngày điều trị, chuyển tuyến, nhập/xuất viện và các chỉ số chuyên môn trọng yếu.</t>
  </si>
  <si>
    <t>Báo cáo HSBA, trích xuất HIS, danh sách kiểm tra</t>
  </si>
  <si>
    <t>Quan trị điều hành</t>
  </si>
  <si>
    <t>Điều phối công tác kiểm tra hoạt động bệnh viện; tổng hợp biên bản, kiến nghị và theo dõi khắc phục sau kiểm tra.</t>
  </si>
  <si>
    <t>Lịch kiểm tra, biên bản, bảng tổng hợp CAPA, báo cáo BGĐ</t>
  </si>
  <si>
    <t>Phối hợp chỉ đạo tuyến, đào tạo, hội chẩn/chuyển tuyến, phòng chống dịch và các nhiệm vụ chuyên môn liên khoa đúng phân công.</t>
  </si>
  <si>
    <t>Kế hoạch, báo cáo, biên bản phối hợp, hồ sơ chỉ đạo tuyến</t>
  </si>
  <si>
    <t>TỔNG ĐIỂM</t>
  </si>
  <si>
    <t>Kết luận/kiến nghị của đoàn kiểm tra: ........................................................................................................................................................................................</t>
  </si>
  <si>
    <t>TRƯỞNG ĐOÀN</t>
  </si>
  <si>
    <t>THƯ KÝ</t>
  </si>
  <si>
    <t>ĐẠI DIỆN KHOA/PHÒNG</t>
  </si>
  <si>
    <t>PHIẾU KIỂM TRA VÀ CHẤM ĐIỂM - PHÒNG QUẢN LÝ CHẤT LƯỢNG</t>
  </si>
  <si>
    <t>Thang điểm 100 điểm: 20 nội dung × 05 điểm. Đơn vị: Phòng Quản lý chất lượng. Ngày kiểm tra: ........../........../2026</t>
  </si>
  <si>
    <t>Tham mưu và theo dõi kế hoạch cải tiến chất lượng bệnh viện; có chỉ số, mục tiêu, tiến độ và minh chứng kết quả.</t>
  </si>
  <si>
    <t>Kế hoạch QLCL, đề án cải tiến, bảng theo dõi chỉ số</t>
  </si>
  <si>
    <t>Quản lý sự cố y khoa, nguy cơ mất an toàn người bệnh, báo cáo và phân tích nguyên nhân gốc theo quy định.</t>
  </si>
  <si>
    <t>Sổ/phần mềm sự cố, báo cáo phân tích, biên bản họp</t>
  </si>
  <si>
    <t>Tổ chức khảo sát hài lòng người bệnh, người nhà và nhân viên; phân tích, phản hồi, đề xuất cải tiến.</t>
  </si>
  <si>
    <t>Phiếu khảo sát, dữ liệu tổng hợp, báo cáo phân tích, kế hoạch cải tiến</t>
  </si>
  <si>
    <t>Theo dõi Bộ tiêu chí chất lượng bệnh viện, chuẩn bị minh chứng và cảnh báo tiêu chí nguy cơ tụt mức.</t>
  </si>
  <si>
    <t>Bảng tự đánh giá tiêu chí, minh chứng, kế hoạch duy trì/cải tiến</t>
  </si>
  <si>
    <t>Bảo mật dữ liệu khảo sát, sự cố và hồ sơ chất lượng; phân quyền, lưu trữ và công bố thông tin đúng quy định.</t>
  </si>
  <si>
    <t>Thư mục dữ liệu, phân quyền truy cập, hồ sơ công bố</t>
  </si>
  <si>
    <t>PHIẾU KIỂM TRA VÀ CHẤM ĐIỂM - PHÒNG TỔ CHỨC CÁN BỘ</t>
  </si>
  <si>
    <t>Thang điểm 100 điểm: 20 nội dung × 05 điểm. Đơn vị: Phòng Tổ chức cán bộ. Ngày kiểm tra: ........../........../2026</t>
  </si>
  <si>
    <t>Quản lý hồ sơ viên chức/người lao động đầy đủ, cập nhật, bảo mật và dễ truy xuất khi cần.</t>
  </si>
  <si>
    <t>Hồ sơ nhân sự, danh mục hồ sơ, phân quyền lưu trữ</t>
  </si>
  <si>
    <t>Theo dõi chấm công, nghỉ phép, trực, ra trực, kỷ luật lao động và tham mưu xử lý đúng quy định.</t>
  </si>
  <si>
    <t>Bảng chấm công, đơn phép, lịch trực, biên bản xử lý</t>
  </si>
  <si>
    <t>Tham mưu tuyển dụng, bổ nhiệm, điều động, đánh giá, đào tạo theo vị trí việc làm và nhu cầu bệnh viện.</t>
  </si>
  <si>
    <t>Kế hoạch nhân sự, hồ sơ tuyển dụng/bổ nhiệm/đào tạo</t>
  </si>
  <si>
    <t>Báo cáo nhân lực, cơ cấu chuyên môn, chứng chỉ hành nghề, đào tạo liên tục chính xác và đúng hạn.</t>
  </si>
  <si>
    <t>Báo cáo nhân sự, danh sách chứng chỉ, CME, văn bản gửi cấp trên</t>
  </si>
  <si>
    <t>Bảo mật dữ liệu nhân sự, tiền lương, đánh giá, kỷ luật; không cung cấp thông tin khi chưa đúng thẩm quyền.</t>
  </si>
  <si>
    <t>Hồ sơ phân quyền, nhật ký cung cấp thông tin, quy trình bảo mật</t>
  </si>
  <si>
    <t>PHIẾU KIỂM TRA VÀ CHẤM ĐIỂM - PHÒNG HÀNH CHÁNH QUẢN TRỊ</t>
  </si>
  <si>
    <t>Thang điểm 100 điểm: 20 nội dung × 05 điểm. Đơn vị: Phòng Hành chánh quản trị. Ngày kiểm tra: ........../........../2026</t>
  </si>
  <si>
    <t>Quản lý công văn, văn thư, lưu trữ, con dấu và phát hành văn bản đúng quy trình, đúng thẩm quyền.</t>
  </si>
  <si>
    <t>Sổ công văn, hồ sơ văn thư, sổ đóng dấu, quy trình phát hành</t>
  </si>
  <si>
    <t>Quản lý cơ sở vật chất, điện nước, sửa chữa, bảo trì, phương tiện, tổ xe, tổ bảo vệ theo kế hoạch.</t>
  </si>
  <si>
    <t>Kế hoạch bảo trì, phiếu sửa chữa, sổ xe, lịch trực bảo vệ</t>
  </si>
  <si>
    <t>Tổ chức an ninh trật tự, kiểm soát cổng, bãi xe, hàng rong, quảng cáo, taxi/xe dịch vụ; xử lý phản ánh kịp thời.</t>
  </si>
  <si>
    <t>Sổ trực bảo vệ, biên bản xử lý, camera, phản ánh người bệnh</t>
  </si>
  <si>
    <t>Giám sát vệ sinh ngoại cảnh, nhà vệ sinh, hành lang, khu công cộng; bảo đảm xanh - sạch - đẹp toàn viện.</t>
  </si>
  <si>
    <t>Lịch vệ sinh, biên bản giám sát, hình ảnh, phản ánh</t>
  </si>
  <si>
    <t>Có phương án phòng cháy chữa cháy, an toàn điện, thang máy, thiên tai và sự cố hạ tầng; diễn tập/kiểm tra định kỳ.</t>
  </si>
  <si>
    <t>Hồ sơ PCCC, sổ kiểm tra thang máy/điện, phương án ứng phó</t>
  </si>
  <si>
    <t>PHIẾU KIỂM TRA VÀ CHẤM ĐIỂM - PHÒNG ĐIỀU DƯỠNG</t>
  </si>
  <si>
    <t>Thang điểm 100 điểm: 20 nội dung × 05 điểm. Đơn vị: Phòng Điều dưỡng. Ngày kiểm tra: ........../........../2026</t>
  </si>
  <si>
    <t>Tham mưu quản lý công tác điều dưỡng, hộ sinh, kỹ thuật viên; kiểm tra thực hiện quy trình chăm sóc tại khoa lâm sàng/cận lâm sàng.</t>
  </si>
  <si>
    <t>Kế hoạch điều dưỡng, biên bản giám sát, bảng kiểm chăm sóc</t>
  </si>
  <si>
    <t>Theo dõi tuân thủ 5 đúng, 3 kiểm tra, 5 đối chiếu, nhận diện người bệnh, phòng ngừa té ngã và bàn giao người bệnh.</t>
  </si>
  <si>
    <t>Bảng kiểm điều dưỡng, hồ sơ chăm sóc, phiếu nguy cơ té ngã</t>
  </si>
  <si>
    <t>Tổ chức đào tạo, kiểm tra tay nghề, giao tiếp ứng xử và giáo dục sức khỏe cho người bệnh/người nhà.</t>
  </si>
  <si>
    <t>Kế hoạch đào tạo, danh sách tham dự, tài liệu giáo dục sức khỏe</t>
  </si>
  <si>
    <t>Theo dõi chỉ số điều dưỡng, sự cố liên quan chăm sóc, phản ánh người bệnh và đề xuất cải tiến.</t>
  </si>
  <si>
    <t>Báo cáo chỉ số điều dưỡng, sự cố, phản ánh, CAPA</t>
  </si>
  <si>
    <t>Giám sát vệ sinh tay, phương tiện phòng hộ, xử lý dụng cụ và phối hợp KSNK trong toàn viện.</t>
  </si>
  <si>
    <t>Bảng kiểm vệ sinh tay, PPE, biên bản phối hợp KSNK</t>
  </si>
  <si>
    <t>PHIẾU KIỂM TRA VÀ CHẤM ĐIỂM - PHÒNG TÀI CHÁNH KẾ TOÁN</t>
  </si>
  <si>
    <t>Thang điểm 100 điểm: 20 nội dung × 05 điểm. Đơn vị: Phòng Tài chánh kế toán. Ngày kiểm tra: ........../........../2026</t>
  </si>
  <si>
    <t>Thực hiện thu, chi, hạch toán, quyết toán, báo cáo tài chính, báo cáo bảo hiểm đúng quy định và đúng thời hạn.</t>
  </si>
  <si>
    <t>Báo cáo tài chính, chứng từ, sổ kế toán, báo cáo BHYT</t>
  </si>
  <si>
    <t>Kiểm soát viện phí, tạm ứng, hoàn ứng, miễn giảm và công khai tài chính theo quy định.</t>
  </si>
  <si>
    <t>Biên lai, bảng kê, hồ sơ miễn giảm, công khai tài chính</t>
  </si>
  <si>
    <t>Quản lý tài sản, công cụ dụng cụ về mặt giá trị, kiểm kê, thanh lý, mua sắm phối hợp đúng quy trình.</t>
  </si>
  <si>
    <t>Biên bản kiểm kê, hồ sơ thanh lý, phiếu nhập xuất, phối hợp VT-HCQT</t>
  </si>
  <si>
    <t>Bảo mật dữ liệu tài chính, viện phí, BHYT; phân quyền phần mềm và sao lưu dữ liệu kế toán.</t>
  </si>
  <si>
    <t>Phân quyền phần mềm, nhật ký truy cập, hồ sơ sao lưu</t>
  </si>
  <si>
    <t>Theo dõi phản ánh liên quan thu viện phí, thanh toán, hướng dẫn người bệnh; xử lý sai sót kịp thời.</t>
  </si>
  <si>
    <t>Sổ phản ánh, biên bản xử lý, điều chỉnh hóa đơn/biên lai nếu có</t>
  </si>
  <si>
    <t>PHIẾU KIỂM TRA VÀ CHẤM ĐIỂM - PHÒNG VẬT TƯ THIẾT BỊ Y TẾ</t>
  </si>
  <si>
    <t>Thang điểm 100 điểm: 20 nội dung × 05 điểm. Đơn vị: Phòng Vật tư thiết bị y tế. Ngày kiểm tra: ........../........../2026</t>
  </si>
  <si>
    <t>Dược - vật tư</t>
  </si>
  <si>
    <t>Lập kế hoạch, theo dõi cung ứng vật tư, hóa chất, trang thiết bị y tế phù hợp nhu cầu chuyên môn và dự trù được duyệt.</t>
  </si>
  <si>
    <t>Kế hoạch mua sắm, dự trù, phiếu cấp phát, báo cáo tồn kho</t>
  </si>
  <si>
    <t>Quản lý hồ sơ thiết bị y tế: lý lịch máy, bảo trì, bảo dưỡng, hiệu chuẩn/kiểm định và tình trạng sử dụng.</t>
  </si>
  <si>
    <t>Lý lịch máy, hợp đồng bảo trì, tem kiểm định, biên bản sửa chữa</t>
  </si>
  <si>
    <t>Kiểm soát nhập - xuất - tồn vật tư, hóa chất, hạn dùng, điều kiện bảo quản và cảnh báo thiếu/hết hàng.</t>
  </si>
  <si>
    <t>Sổ kho, phần mềm, thẻ kho, biên bản kiểm kê, cảnh báo tồn</t>
  </si>
  <si>
    <t>Phối hợp khoa/phòng xử lý hỏng hóc trang thiết bị, vật tư không phù hợp và đề xuất thay thế/sửa chữa kịp thời.</t>
  </si>
  <si>
    <t>Phiếu báo hỏng, biên bản đánh giá, đề xuất sửa chữa/thay thế</t>
  </si>
  <si>
    <t>Bảo mật hồ sơ đấu thầu, mua sắm, báo giá, hợp đồng và dữ liệu tồn kho theo phân quyền.</t>
  </si>
  <si>
    <t>Hồ sơ mua sắm, phân quyền thư mục/phần mềm, nhật ký truy cập</t>
  </si>
  <si>
    <t>PHIẾU KIỂM TRA VÀ CHẤM ĐIỂM - PHÒNG CÔNG TÁC XÃ HỘI</t>
  </si>
  <si>
    <t>Thang điểm 100 điểm: 20 nội dung × 05 điểm. Đơn vị: Phòng Công tác xã hội. Ngày kiểm tra: ........../........../2026</t>
  </si>
  <si>
    <t>Tổ chức tiếp nhận, hỗ trợ, tư vấn, hướng dẫn người bệnh/người nhà; ghi nhận đầy đủ trường hợp cần hỗ trợ xã hội.</t>
  </si>
  <si>
    <t>Sổ CTXH, hồ sơ hỗ trợ, danh sách người bệnh cần hỗ trợ</t>
  </si>
  <si>
    <t>Phối hợp khảo sát hài lòng, tiếp nhận phản ánh, truyền thông giáo dục sức khỏe và cải thiện trải nghiệm người bệnh.</t>
  </si>
  <si>
    <t>Phiếu khảo sát, sổ phản ánh, kế hoạch truyền thông, báo cáo</t>
  </si>
  <si>
    <t>Quản lý hoạt động thiện nguyện, quà tặng, tài trợ, hỗ trợ bệnh nhân đúng quy định, công khai và minh bạch.</t>
  </si>
  <si>
    <t>Biên bản tiếp nhận, danh sách cấp phát, hồ sơ tài trợ, công khai</t>
  </si>
  <si>
    <t>Phối hợp hướng dẫn giờ thăm nuôi, trật tự khoa phòng, phòng chống chèo kéo, quảng cáo, bán hàng rong, taxi không đúng quy định.</t>
  </si>
  <si>
    <t>Biên bản phối hợp, nội dung truyền thông, phản ánh, quan sát</t>
  </si>
  <si>
    <t>Bảo mật thông tin người bệnh, hoàn cảnh xã hội, hình ảnh truyền thông; chỉ sử dụng khi có sự đồng ý/thẩm quyền.</t>
  </si>
  <si>
    <t>Phiếu đồng ý, hồ sơ truyền thông, phân quyền dữ liệu</t>
  </si>
  <si>
    <t>Đơn vị</t>
  </si>
  <si>
    <t>Sheet</t>
  </si>
  <si>
    <t>Phòng</t>
  </si>
  <si>
    <t>Tỷ lệ</t>
  </si>
  <si>
    <t>Số tiêu chí chưa chấm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</si>
</sst>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0">
    <font>
      <sz val="11.0"/>
      <color rgb="FF000000"/>
      <name val="Carlito"/>
      <scheme val="minor"/>
    </font>
    <font>
      <b/>
      <sz val="13.0"/>
      <color rgb="FF0B5394"/>
      <name val="Carlito"/>
      <scheme val="minor"/>
    </font>
    <font>
      <b/>
      <color theme="1"/>
      <name val="Carlito"/>
      <scheme val="minor"/>
    </font>
    <font>
      <color theme="1"/>
      <name val="Carlito"/>
      <scheme val="minor"/>
    </font>
    <font>
      <i/>
      <color rgb="FF808080"/>
      <name val="Carlito"/>
      <scheme val="minor"/>
    </font>
    <font>
      <b/>
      <sz val="11.0"/>
      <color rgb="FF000000"/>
      <name val="Carlito"/>
      <scheme val="minor"/>
    </font>
    <font>
      <b/>
      <sz val="11.0"/>
      <color rgb="FFFFFFFF"/>
      <name val="Carlito"/>
      <scheme val="minor"/>
    </font>
    <font>
      <color rgb="FF000000"/>
      <name val="Carlito"/>
      <scheme val="minor"/>
    </font>
    <font>
      <b/>
      <color rgb="FF351C75"/>
      <name val="Carlito"/>
      <scheme val="minor"/>
    </font>
    <font>
      <b/>
      <color rgb="FF000000"/>
      <name val="Carlito"/>
      <scheme val="minor"/>
    </font>
    <font>
      <i/>
      <color rgb="FF000000"/>
      <name val="Carlito"/>
      <scheme val="minor"/>
    </font>
    <font>
      <b/>
      <color rgb="FF783F04"/>
      <name val="Carlito"/>
      <scheme val="minor"/>
    </font>
    <font>
      <b/>
      <color rgb="FF274E13"/>
      <name val="Carlito"/>
      <scheme val="minor"/>
    </font>
    <font>
      <u/>
      <color rgb="FF0000FF"/>
    </font>
    <font>
      <b/>
      <sz val="14.0"/>
      <color rgb="FFFFFFFF"/>
      <name val="Carlito"/>
    </font>
    <font>
      <b/>
      <sz val="11.0"/>
      <color theme="1"/>
      <name val="Carlito"/>
    </font>
    <font>
      <b/>
      <sz val="11.0"/>
      <color rgb="FFFFFFFF"/>
      <name val="Carlito"/>
    </font>
    <font>
      <sz val="11.0"/>
      <color theme="1"/>
      <name val="Carlito"/>
    </font>
    <font>
      <b/>
      <sz val="11.0"/>
      <color rgb="FFFFFFFF"/>
      <name val="Times New Roman"/>
    </font>
    <font>
      <color theme="1"/>
      <name val="Carlito"/>
    </font>
  </fonts>
  <fills count="12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0F766E"/>
        <bgColor rgb="FF0F766E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right"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4" fontId="5" numFmtId="0" xfId="0" applyAlignment="1" applyFill="1" applyFont="1">
      <alignment horizontal="right" readingOrder="0" vertical="center"/>
    </xf>
    <xf borderId="0" fillId="4" fontId="6" numFmtId="0" xfId="0" applyAlignment="1" applyFont="1">
      <alignment horizontal="center" readingOrder="0" vertical="center"/>
    </xf>
    <xf borderId="0" fillId="0" fontId="7" numFmtId="0" xfId="0" applyAlignment="1" applyFont="1">
      <alignment vertical="center"/>
    </xf>
    <xf borderId="0" fillId="0" fontId="7" numFmtId="0" xfId="0" applyFont="1"/>
    <xf borderId="0" fillId="5" fontId="8" numFmtId="0" xfId="0" applyAlignment="1" applyFill="1" applyFont="1">
      <alignment readingOrder="0" vertical="center"/>
    </xf>
    <xf borderId="0" fillId="6" fontId="9" numFmtId="0" xfId="0" applyAlignment="1" applyFill="1" applyFont="1">
      <alignment readingOrder="0" vertical="center"/>
    </xf>
    <xf borderId="0" fillId="6" fontId="9" numFmtId="0" xfId="0" applyAlignment="1" applyFont="1">
      <alignment horizontal="center" readingOrder="0" vertical="center"/>
    </xf>
    <xf borderId="0" fillId="0" fontId="10" numFmtId="0" xfId="0" applyAlignment="1" applyFont="1">
      <alignment readingOrder="0" vertical="center"/>
    </xf>
    <xf borderId="0" fillId="7" fontId="11" numFmtId="0" xfId="0" applyAlignment="1" applyFill="1" applyFont="1">
      <alignment readingOrder="0" vertical="center"/>
    </xf>
    <xf borderId="0" fillId="8" fontId="12" numFmtId="0" xfId="0" applyAlignment="1" applyFill="1" applyFont="1">
      <alignment readingOrder="0" vertical="center"/>
    </xf>
    <xf borderId="0" fillId="8" fontId="2" numFmtId="0" xfId="0" applyAlignment="1" applyFont="1">
      <alignment horizontal="center" readingOrder="0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13" numFmtId="0" xfId="0" applyAlignment="1" applyFont="1">
      <alignment readingOrder="0" vertical="center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9" fontId="14" numFmtId="0" xfId="0" applyAlignment="1" applyFill="1" applyFont="1">
      <alignment horizontal="center" vertical="center"/>
    </xf>
    <xf borderId="0" fillId="10" fontId="15" numFmtId="0" xfId="0" applyAlignment="1" applyFill="1" applyFont="1">
      <alignment horizontal="left" shrinkToFit="0" vertical="center" wrapText="1"/>
    </xf>
    <xf borderId="0" fillId="11" fontId="16" numFmtId="0" xfId="0" applyAlignment="1" applyFill="1" applyFont="1">
      <alignment horizontal="center" shrinkToFit="0" vertical="center" wrapText="1"/>
    </xf>
    <xf borderId="0" fillId="0" fontId="17" numFmtId="0" xfId="0" applyAlignment="1" applyFont="1">
      <alignment shrinkToFit="0" vertical="top" wrapText="1"/>
    </xf>
    <xf borderId="0" fillId="9" fontId="18" numFmtId="0" xfId="0" applyAlignment="1" applyFont="1">
      <alignment horizontal="center" vertical="center"/>
    </xf>
    <xf borderId="0" fillId="10" fontId="15" numFmtId="0" xfId="0" applyAlignment="1" applyFont="1">
      <alignment horizontal="left" vertical="center"/>
    </xf>
    <xf borderId="0" fillId="11" fontId="16" numFmtId="0" xfId="0" applyAlignment="1" applyFont="1">
      <alignment horizontal="center" shrinkToFit="0" vertical="top" wrapText="1"/>
    </xf>
    <xf borderId="0" fillId="0" fontId="17" numFmtId="9" xfId="0" applyAlignment="1" applyFont="1" applyNumberFormat="1">
      <alignment shrinkToFit="0" vertical="top" wrapText="1"/>
    </xf>
    <xf borderId="0" fillId="3" fontId="15" numFmtId="0" xfId="0" applyAlignment="1" applyFont="1">
      <alignment horizontal="center" vertical="center"/>
    </xf>
    <xf borderId="0" fillId="3" fontId="15" numFmtId="9" xfId="0" applyAlignment="1" applyFont="1" applyNumberFormat="1">
      <alignment horizontal="center" vertical="center"/>
    </xf>
    <xf borderId="0" fillId="0" fontId="19" numFmtId="0" xfId="0" applyFont="1"/>
    <xf borderId="0" fillId="0" fontId="15" numFmtId="0" xfId="0" applyAlignment="1" applyFont="1">
      <alignment horizontal="center"/>
    </xf>
    <xf borderId="0" fillId="11" fontId="16" numFmtId="164" xfId="0" applyAlignment="1" applyFont="1" applyNumberFormat="1">
      <alignment horizontal="center" shrinkToFit="0" vertical="center" wrapText="1"/>
    </xf>
    <xf borderId="0" fillId="11" fontId="16" numFmtId="9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8">
    <tableStyle count="4" pivot="0" name="Phản hồi - Phòng Điều dưỡ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Phòng Tổ chức cán bộ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Phòng Vật tư thiết 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Phòng Tài chánh kế 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Phòng Quản lý chất 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Phòng Kế hoạch tổng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Phòng Hành chánh quả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Phòng Công tác xã hộ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D3" displayName="Form_Responses2" name="Form_Responses2" id="1">
  <tableColumns count="30">
    <tableColumn name="Dấu thời gian" id="1"/>
    <tableColumn name="XÁC NHẬN THÀNH VIÊN ĐOÀN 02 THỰC HIỆN CHẤM ĐIỂM" id="2"/>
    <tableColumn name="Tiêu chí 4: Nhân viên có mặt đúng giờ, đúng vị trí; trang phục, bảng tên, giao tiếp, tác phong hành chính đúng quy định._x000a_- Minh chứng: Bảng chấm công, lịch trực/làm việc, quan sát trực tiếp" id="3"/>
    <tableColumn name="Tiêu chí 5: Không sử dụng thời gian làm việc cho việc cá nhân không phù hợp nhiệm vụ; không để tồn đọng công việc do lỗi chủ quan._x000a_- Minh chứng: Quan sát, phản ánh, hồ sơ công việc tồn đọng, biên bản nhắc nhở" id="4"/>
    <tableColumn name="Ghi chú / Phát hiện / Yêu cầu khắc phục của Bà Phan Hồng Trên" id="5"/>
    <tableColumn name="Tiêu chí 2: Thực hiện báo cáo định kỳ/đột xuất đúng thời hạn, đúng biểu mẫu, số liệu thống nhất với hồ sơ gốc._x000a_- Minh chứng: Báo cáo tháng/quý, sổ giao nhận, email/văn bản gửi, file dữ liệu" id="6"/>
    <tableColumn name="Tiêu chí 3: Lưu trữ văn bản, hồ sơ, sổ sách của phòng đầy đủ, dễ tra cứu, có phân loại và kiểm soát phiên bản._x000a_- Minh chứng: Hồ sơ lưu, danh mục hồ sơ, bìa hồ sơ, file điện tử" id="7"/>
    <tableColumn name="Ghi chú / Phát hiện / Yêu cầu khắc phục của Bà Trần Kim Diệu" id="8"/>
    <tableColumn name="Tiêu chí 1: Có kế hoạch công tác tháng/tuần, phân công nhiệm vụ cụ thể, cập nhật tiến độ thực hiện và có bằng chứng điều hành._x000a_- Minh chứng: Kế hoạch công tác, lịch phân công, biên bản giao ban, bảng theo dõi tiến độ" id="9"/>
    <tableColumn name="Ghi chú / Phát hiện / Yêu cầu khắc phục của Bà Trần Thiên Lý" id="10"/>
    <tableColumn name="Tiêu chí 10: Quản lý, sử dụng tài sản công, trang thiết bị, vật tư văn phòng tiết kiệm; có sổ theo dõi và bàn giao khi thay đổi người sử dụng._x000a_- Minh chứng: Sổ tài sản, biên bản bàn giao, phiếu cấp phát, kiểm kê" id="11"/>
    <tableColumn name="Tiêu chí 11: Thực hiện tiết kiệm điện, nước, văn phòng phẩm; khu vực làm việc gọn gàng, xanh - sạch - đẹp, không nguy cơ cháy nổ._x000a_- Minh chứng: Quan sát thực tế, bảng nhắc tiết kiệm, tình trạng ổ điện, vật dụng" id="12"/>
    <tableColumn name="Tiêu chí 12: Chấp hành quy định an toàn, trật tự, kiểm soát ra vào; phối hợp ngăn ngừa buôn bán, quảng cáo hàng rong, taxi/xe dịch vụ chèo kéo trong phạm vi quản lý._x000a_- Minh chứng: Quan sát, phản ánh, biên bản xử lý, phối hợp bảo vệ" id="13"/>
    <tableColumn name="Ghi chú / Phát hiện / Yêu cầu khắc phục của Ông Dương Quốc Huy" id="14"/>
    <tableColumn name="Tiêu chí 13: Khu vực làm việc, kho hồ sơ, nơi tiếp nhận người bệnh/người nhà nếu có bảo đảm vệ sinh, phân loại rác, phòng chống lây nhiễm phù hợp._x000a_- Minh chứng: Quan sát, thùng rác, vệ sinh bề mặt, hướng dẫn vệ sinh tay" id="15"/>
    <tableColumn name="Tiêu chí 14: Khi tiếp xúc người bệnh/người nhà/nhân viên, thực hiện giao tiếp ứng xử đúng quy định, hướng dẫn rõ ràng, tôn trọng và bảo mật thông tin._x000a_- Minh chứng: Quan sát, phản ánh, phiếu khảo sát, hồ sơ tiếp nhận xử lý" id="16"/>
    <tableColumn name="Tiêu chí 16: Tham mưu quản lý công tác điều dưỡng, hộ sinh, kỹ thuật viên; kiểm tra thực hiện quy trình chăm sóc tại khoa lâm sàng/cận lâm sàng._x000a_- Minh chứng: Kế hoạch điều dưỡng, biên bản giám sát, bảng kiểm chăm sóc" id="17"/>
    <tableColumn name="Tiêu chí 17: Theo dõi tuân thủ 5 đúng, 3 kiểm tra, 5 đối chiếu, nhận diện người bệnh, phòng ngừa té ngã và bàn giao người bệnh._x000a_- Minh chứng: Bảng kiểm điều dưỡng, hồ sơ chăm sóc, phiếu nguy cơ té ngã" id="18"/>
    <tableColumn name="Tiêu chí 18: Tổ chức đào tạo, kiểm tra tay nghề, giao tiếp ứng xử và giáo dục sức khỏe cho người bệnh/người nhà._x000a_- Minh chứng: Kế hoạch đào tạo, danh sách tham dự, tài liệu giáo dục sức khỏe" id="19"/>
    <tableColumn name="Tiêu chí 20: Giám sát vệ sinh tay, phương tiện phòng hộ, xử lý dụng cụ và phối hợp KSNK trong toàn viện._x000a_- Minh chứng: Bảng kiểm vệ sinh tay, PPE, biên bản phối hợp KSNK" id="20"/>
    <tableColumn name="Ghi chú / Phát hiện / Yêu cầu khắc phục của Ông Trương Văn Khanh" id="21"/>
    <tableColumn name="Tiêu chí 6: Có theo dõi chỉ tiêu/KPI/BI được giao; phát hiện vấn đề và đề xuất cải tiến trong phạm vi chức năng._x000a_- Minh chứng: Bảng theo dõi KPI/BI, báo cáo phân tích, kế hoạch cải tiến" id="22"/>
    <tableColumn name="Tiêu chí 7: Thực hiện khắc phục sau kiểm tra/giám sát đúng thời hạn; có bằng chứng CAPA và đánh giá hiệu lực._x000a_- Minh chứng: Biên bản kiểm tra, kế hoạch CAPA, minh chứng hoàn thành" id="23"/>
    <tableColumn name="Tiêu chí 8: Tuân thủ bảo mật thông tin, không chia sẻ tài khoản/mật khẩu; dữ liệu, văn bản điện tử được phân quyền và sao lưu phù hợp._x000a_- Minh chứng: Tài khoản phần mềm, phân quyền, nhật ký truy cập, hồ sơ sao lưu" id="24"/>
    <tableColumn name="Tiêu chí 9: Máy tính, phần mềm, email công vụ và thiết bị lưu trữ được sử dụng đúng mục đích; không cài đặt phần mềm không rõ nguồn gốc._x000a_- Minh chứng: Kiểm tra máy trạm, phần mềm, email, USB/ổ cứng nếu có" id="25"/>
    <tableColumn name="Tiêu chí 15: Có ghi nhận, xử lý phản ánh, kiến nghị, khảo sát sự hài lòng liên quan đến phạm vi phòng; chuyển đúng đầu mối khi vượt thẩm quyền._x000a_- Minh chứng: Sổ/phần mềm phản ánh, phiếu khảo sát, biên bản xử lý" id="26"/>
    <tableColumn name="Tiêu chí 19: Theo dõi chỉ số điều dưỡng, sự cố liên quan chăm sóc, phản ánh người bệnh và đề xuất cải tiến._x000a_- Minh chứng: Báo cáo chỉ số điều dưỡng, sự cố, phản ánh, CAPA" id="27"/>
    <tableColumn name="Ghi chú / Phát hiện / Yêu cầu khắc phục của Ông Trần Việt Hùng" id="28"/>
    <tableColumn name="TỔNG ĐIỂM PHÒNG" id="29"/>
    <tableColumn name="TỔNG HỢP NHẬN XÉT" id="30"/>
  </tableColumns>
  <tableStyleInfo name="Phản hồi - Phòng Điều dưỡng-style" showColumnStripes="0" showFirstColumn="1" showLastColumn="1" showRowStripes="1"/>
</table>
</file>

<file path=xl/tables/table2.xml><?xml version="1.0" encoding="utf-8"?>
<table xmlns="http://schemas.openxmlformats.org/spreadsheetml/2006/main" headerRowCount="0" ref="A1:AD1" displayName="Form_Responses7" name="Form_Responses7" id="2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Phản hồi - Phòng Tổ chức cán bộ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AE3" displayName="Form_Responses8" name="Form_Responses8" id="3">
  <tableColumns count="31">
    <tableColumn name="Dấu thời gian" id="1"/>
    <tableColumn name="XÁC NHẬN THÀNH VIÊN ĐOÀN 02 THỰC HIỆN CHẤM ĐIỂM" id="2"/>
    <tableColumn name="Tiêu chí 16: Lập kế hoạch, theo dõi cung ứng vật tư, hóa chất, trang thiết bị y tế phù hợp nhu cầu chuyên môn và dự trù được duyệt._x000a_- Minh chứng: Kế hoạch mua sắm, dự trù, phiếu cấp phát, báo cáo tồn kho" id="3"/>
    <tableColumn name="Tiêu chí 17: Quản lý hồ sơ thiết bị y tế: lý lịch máy, bảo trì, bảo dưỡng, hiệu chuẩn/kiểm định và tình trạng sử dụng._x000a_- Minh chứng: Lý lịch máy, hợp đồng bảo trì, tem kiểm định, biên bản sửa chữa" id="4"/>
    <tableColumn name="Tiêu chí 18: Kiểm soát nhập - xuất - tồn vật tư, hóa chất, hạn dùng, điều kiện bảo quản và cảnh báo thiếu/hết hàng._x000a_- Minh chứng: Sổ kho, phần mềm, thẻ kho, biên bản kiểm kê, cảnh báo tồn" id="5"/>
    <tableColumn name="Ghi chú / Phát hiện / Yêu cầu khắc phục của Bà Lưu Thị Thu Cầm" id="6"/>
    <tableColumn name="Tiêu chí 4: Nhân viên có mặt đúng giờ, đúng vị trí; trang phục, bảng tên, giao tiếp, tác phong hành chính đúng quy định._x000a_- Minh chứng: Bảng chấm công, lịch trực/làm việc, quan sát trực tiếp" id="7"/>
    <tableColumn name="Tiêu chí 5: Không sử dụng thời gian làm việc cho việc cá nhân không phù hợp nhiệm vụ; không để tồn đọng công việc do lỗi chủ quan._x000a_- Minh chứng: Quan sát, phản ánh, hồ sơ công việc tồn đọng, biên bản nhắc nhở" id="8"/>
    <tableColumn name="Ghi chú / Phát hiện / Yêu cầu khắc phục của Bà Phan Hồng Trên" id="9"/>
    <tableColumn name="Tiêu chí 2: Thực hiện báo cáo định kỳ/đột xuất đúng thời hạn, đúng biểu mẫu, số liệu thống nhất với hồ sơ gốc._x000a_- Minh chứng: Báo cáo tháng/quý, sổ giao nhận, email/văn bản gửi, file dữ liệu" id="10"/>
    <tableColumn name="Tiêu chí 3: Lưu trữ văn bản, hồ sơ, sổ sách của phòng đầy đủ, dễ tra cứu, có phân loại và kiểm soát phiên bản._x000a_- Minh chứng: Hồ sơ lưu, danh mục hồ sơ, bìa hồ sơ, file điện tử" id="11"/>
    <tableColumn name="Ghi chú / Phát hiện / Yêu cầu khắc phục của Bà Trần Kim Diệu" id="12"/>
    <tableColumn name="Tiêu chí 1: Có kế hoạch công tác tháng/tuần, phân công nhiệm vụ cụ thể, cập nhật tiến độ thực hiện và có bằng chứng điều hành._x000a_- Minh chứng: Kế hoạch công tác, lịch phân công, biên bản giao ban, bảng theo dõi tiến độ" id="13"/>
    <tableColumn name="Ghi chú / Phát hiện / Yêu cầu khắc phục của Bà Trần Thiên Lý" id="14"/>
    <tableColumn name="Tiêu chí 10: Quản lý, sử dụng tài sản công, trang thiết bị, vật tư văn phòng tiết kiệm; có sổ theo dõi và bàn giao khi thay đổi người sử dụng._x000a_- Minh chứng: Sổ tài sản, biên bản bàn giao, phiếu cấp phát, kiểm kê" id="15"/>
    <tableColumn name="Tiêu chí 11: Thực hiện tiết kiệm điện, nước, văn phòng phẩm; khu vực làm việc gọn gàng, xanh - sạch - đẹp, không nguy cơ cháy nổ._x000a_- Minh chứng: Quan sát thực tế, bảng nhắc tiết kiệm, tình trạng ổ điện, vật dụng" id="16"/>
    <tableColumn name="Tiêu chí 12: Chấp hành quy định an toàn, trật tự, kiểm soát ra vào; phối hợp ngăn ngừa buôn bán, quảng cáo hàng rong, taxi/xe dịch vụ chèo kéo trong phạm vi quản lý._x000a_- Minh chứng: Quan sát, phản ánh, biên bản xử lý, phối hợp bảo vệ" id="17"/>
    <tableColumn name="Tiêu chí 19: Phối hợp khoa/phòng xử lý hỏng hóc trang thiết bị, vật tư không phù hợp và đề xuất thay thế/sửa chữa kịp thời._x000a_- Minh chứng: Phiếu báo hỏng, biên bản đánh giá, đề xuất sửa chữa/thay thế" id="18"/>
    <tableColumn name="Ghi chú / Phát hiện / Yêu cầu khắc phục của Ông Dương Quốc Huy" id="19"/>
    <tableColumn name="Tiêu chí 13: Khu vực làm việc, kho hồ sơ, nơi tiếp nhận người bệnh/người nhà nếu có bảo đảm vệ sinh, phân loại rác, phòng chống lây nhiễm phù hợp._x000a_- Minh chứng: Quan sát, thùng rác, vệ sinh bề mặt, hướng dẫn vệ sinh tay" id="20"/>
    <tableColumn name="Tiêu chí 14: Khi tiếp xúc người bệnh/người nhà/nhân viên, thực hiện giao tiếp ứng xử đúng quy định, hướng dẫn rõ ràng, tôn trọng và bảo mật thông tin._x000a_- Minh chứng: Quan sát, phản ánh, phiếu khảo sát, hồ sơ tiếp nhận xử lý" id="21"/>
    <tableColumn name="Ghi chú / Phát hiện / Yêu cầu khắc phục của Ông Trương Văn Khanh" id="22"/>
    <tableColumn name="Tiêu chí 6: Có theo dõi chỉ tiêu/KPI/BI được giao; phát hiện vấn đề và đề xuất cải tiến trong phạm vi chức năng._x000a_- Minh chứng: Bảng theo dõi KPI/BI, báo cáo phân tích, kế hoạch cải tiến" id="23"/>
    <tableColumn name="Tiêu chí 7: Thực hiện khắc phục sau kiểm tra/giám sát đúng thời hạn; có bằng chứng CAPA và đánh giá hiệu lực._x000a_- Minh chứng: Biên bản kiểm tra, kế hoạch CAPA, minh chứng hoàn thành" id="24"/>
    <tableColumn name="Tiêu chí 8: Tuân thủ bảo mật thông tin, không chia sẻ tài khoản/mật khẩu; dữ liệu, văn bản điện tử được phân quyền và sao lưu phù hợp._x000a_- Minh chứng: Tài khoản phần mềm, phân quyền, nhật ký truy cập, hồ sơ sao lưu" id="25"/>
    <tableColumn name="Tiêu chí 9: Máy tính, phần mềm, email công vụ và thiết bị lưu trữ được sử dụng đúng mục đích; không cài đặt phần mềm không rõ nguồn gốc._x000a_- Minh chứng: Kiểm tra máy trạm, phần mềm, email, USB/ổ cứng nếu có" id="26"/>
    <tableColumn name="Tiêu chí 15: Có ghi nhận, xử lý phản ánh, kiến nghị, khảo sát sự hài lòng liên quan đến phạm vi phòng; chuyển đúng đầu mối khi vượt thẩm quyền._x000a_- Minh chứng: Sổ/phần mềm phản ánh, phiếu khảo sát, biên bản xử lý" id="27"/>
    <tableColumn name="Tiêu chí 20: Bảo mật hồ sơ đấu thầu, mua sắm, báo giá, hợp đồng và dữ liệu tồn kho theo phân quyền._x000a_- Minh chứng: Hồ sơ mua sắm, phân quyền thư mục/phần mềm, nhật ký truy cập" id="28"/>
    <tableColumn name="Ghi chú / Phát hiện / Yêu cầu khắc phục của Ông Trần Việt Hùng" id="29"/>
    <tableColumn name="TỔNG ĐIỂM PHÒNG" id="30"/>
    <tableColumn name="TỔNG HỢP NHẬN XÉT" id="31"/>
  </tableColumns>
  <tableStyleInfo name="Phản hồi - Phòng Vật tư thiết b-style" showColumnStripes="0" showFirstColumn="1" showLastColumn="1" showRowStripes="1"/>
</table>
</file>

<file path=xl/tables/table4.xml><?xml version="1.0" encoding="utf-8"?>
<table xmlns="http://schemas.openxmlformats.org/spreadsheetml/2006/main" headerRowCount="0" ref="A1:AD1" displayName="Form_Responses6" name="Form_Responses6" id="4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Phản hồi - Phòng Tài chánh kế 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AD1" displayName="Form_Responses5" name="Form_Responses5" id="5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Phản hồi - Phòng Quản lý chất 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AE1" displayName="Form_Responses4" name="Form_Responses4" id="6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Phản hồi - Phòng Kế hoạch tổng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1:AD1" displayName="Form_Responses3" name="Form_Responses3" id="7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Phản hồi - Phòng Hành chánh quả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ref="A1:AD8" displayName="Form_Responses" name="Form_Responses" id="8">
  <tableColumns count="30">
    <tableColumn name="Dấu thời gian" id="1"/>
    <tableColumn name="XÁC NHẬN THÀNH VIÊN ĐOÀN 02 THỰC HIỆN CHẤM ĐIỂM" id="2"/>
    <tableColumn name="Tiêu chí 4: Nhân viên có mặt đúng giờ, đúng vị trí; trang phục, bảng tên, giao tiếp, tác phong hành chính đúng quy định._x000a_- Minh chứng: Bảng chấm công, lịch trực/làm việc, quan sát trực tiếp" id="3"/>
    <tableColumn name="Tiêu chí 5: Không sử dụng thời gian làm việc cho việc cá nhân không phù hợp nhiệm vụ; không để tồn đọng công việc do lỗi chủ quan._x000a_- Minh chứng: Quan sát, phản ánh, hồ sơ công việc tồn đọng, biên bản nhắc nhở" id="4"/>
    <tableColumn name="Ghi chú / Phát hiện / Yêu cầu khắc phục của Bà Phan Hồng Trên" id="5"/>
    <tableColumn name="Tiêu chí 2: Thực hiện báo cáo định kỳ/đột xuất đúng thời hạn, đúng biểu mẫu, số liệu thống nhất với hồ sơ gốc._x000a_- Minh chứng: Báo cáo tháng/quý, sổ giao nhận, email/văn bản gửi, file dữ liệu" id="6"/>
    <tableColumn name="Tiêu chí 3: Lưu trữ văn bản, hồ sơ, sổ sách của phòng đầy đủ, dễ tra cứu, có phân loại và kiểm soát phiên bản._x000a_- Minh chứng: Hồ sơ lưu, danh mục hồ sơ, bìa hồ sơ, file điện tử" id="7"/>
    <tableColumn name="Ghi chú / Phát hiện / Yêu cầu khắc phục của Bà Trần Kim Diệu" id="8"/>
    <tableColumn name="Tiêu chí 1: Có kế hoạch công tác tháng/tuần, phân công nhiệm vụ cụ thể, cập nhật tiến độ thực hiện và có bằng chứng điều hành._x000a_- Minh chứng: Kế hoạch công tác, lịch phân công, biên bản giao ban, bảng theo dõi tiến độ" id="9"/>
    <tableColumn name="Ghi chú / Phát hiện / Yêu cầu khắc phục của Bà Trần Thiên Lý" id="10"/>
    <tableColumn name="Tiêu chí 10: Quản lý, sử dụng tài sản công, trang thiết bị, vật tư văn phòng tiết kiệm; có sổ theo dõi và bàn giao khi thay đổi người sử dụng._x000a_- Minh chứng: Sổ tài sản, biên bản bàn giao, phiếu cấp phát, kiểm kê" id="11"/>
    <tableColumn name="Tiêu chí 11: Thực hiện tiết kiệm điện, nước, văn phòng phẩm; khu vực làm việc gọn gàng, xanh - sạch - đẹp, không nguy cơ cháy nổ._x000a_- Minh chứng: Quan sát thực tế, bảng nhắc tiết kiệm, tình trạng ổ điện, vật dụng" id="12"/>
    <tableColumn name="Tiêu chí 12: Chấp hành quy định an toàn, trật tự, kiểm soát ra vào; phối hợp ngăn ngừa buôn bán, quảng cáo hàng rong, taxi/xe dịch vụ chèo kéo trong phạm vi quản lý._x000a_- Minh chứng: Quan sát, phản ánh, biên bản xử lý, phối hợp bảo vệ" id="13"/>
    <tableColumn name="Tiêu chí 18: Quản lý hoạt động thiện nguyện, quà tặng, tài trợ, hỗ trợ bệnh nhân đúng quy định, công khai và minh bạch._x000a_- Minh chứng: Biên bản tiếp nhận, danh sách cấp phát, hồ sơ tài trợ, công khai" id="14"/>
    <tableColumn name="Tiêu chí 19: Phối hợp hướng dẫn giờ thăm nuôi, trật tự khoa phòng, phòng chống chèo kéo, quảng cáo, bán hàng rong, taxi không đúng quy định._x000a_- Minh chứng: Biên bản phối hợp, nội dung truyền thông, phản ánh, quan sát" id="15"/>
    <tableColumn name="Ghi chú / Phát hiện / Yêu cầu khắc phục của Ông Dương Quốc Huy" id="16"/>
    <tableColumn name="Tiêu chí 13: Khu vực làm việc, kho hồ sơ, nơi tiếp nhận người bệnh/người nhà nếu có bảo đảm vệ sinh, phân loại rác, phòng chống lây nhiễm phù hợp._x000a_- Minh chứng: Quan sát, thùng rác, vệ sinh bề mặt, hướng dẫn vệ sinh tay" id="17"/>
    <tableColumn name="Tiêu chí 14: Khi tiếp xúc người bệnh/người nhà/nhân viên, thực hiện giao tiếp ứng xử đúng quy định, hướng dẫn rõ ràng, tôn trọng và bảo mật thông tin._x000a_- Minh chứng: Quan sát, phản ánh, phiếu khảo sát, hồ sơ tiếp nhận xử lý" id="18"/>
    <tableColumn name="Tiêu chí 16: Tổ chức tiếp nhận, hỗ trợ, tư vấn, hướng dẫn người bệnh/người nhà; ghi nhận đầy đủ trường hợp cần hỗ trợ xã hội._x000a_- Minh chứng: Sổ CTXH, hồ sơ hỗ trợ, danh sách người bệnh cần hỗ trợ" id="19"/>
    <tableColumn name="Ghi chú / Phát hiện / Yêu cầu khắc phục của Ông Trương Văn Khanh" id="20"/>
    <tableColumn name="Tiêu chí 6: Có theo dõi chỉ tiêu/KPI/BI được giao; phát hiện vấn đề và đề xuất cải tiến trong phạm vi chức năng._x000a_- Minh chứng: Bảng theo dõi KPI/BI, báo cáo phân tích, kế hoạch cải tiến" id="21"/>
    <tableColumn name="Tiêu chí 7: Thực hiện khắc phục sau kiểm tra/giám sát đúng thời hạn; có bằng chứng CAPA và đánh giá hiệu lực._x000a_- Minh chứng: Biên bản kiểm tra, kế hoạch CAPA, minh chứng hoàn thành" id="22"/>
    <tableColumn name="Tiêu chí 8: Tuân thủ bảo mật thông tin, không chia sẻ tài khoản/mật khẩu; dữ liệu, văn bản điện tử được phân quyền và sao lưu phù hợp._x000a_- Minh chứng: Tài khoản phần mềm, phân quyền, nhật ký truy cập, hồ sơ sao lưu" id="23"/>
    <tableColumn name="Tiêu chí 9: Máy tính, phần mềm, email công vụ và thiết bị lưu trữ được sử dụng đúng mục đích; không cài đặt phần mềm không rõ nguồn gốc._x000a_- Minh chứng: Kiểm tra máy trạm, phần mềm, email, USB/ổ cứng nếu có" id="24"/>
    <tableColumn name="Tiêu chí 15: Có ghi nhận, xử lý phản ánh, kiến nghị, khảo sát sự hài lòng liên quan đến phạm vi phòng; chuyển đúng đầu mối khi vượt thẩm quyền._x000a_- Minh chứng: Sổ/phần mềm phản ánh, phiếu khảo sát, biên bản xử lý" id="25"/>
    <tableColumn name="Tiêu chí 17: Phối hợp khảo sát hài lòng, tiếp nhận phản ánh, truyền thông giáo dục sức khỏe và cải thiện trải nghiệm người bệnh._x000a_- Minh chứng: Phiếu khảo sát, sổ phản ánh, kế hoạch truyền thông, báo cáo" id="26"/>
    <tableColumn name="Tiêu chí 20: Bảo mật thông tin người bệnh, hoàn cảnh xã hội, hình ảnh truyền thông; chỉ sử dụng khi có sự đồng ý/thẩm quyền._x000a_- Minh chứng: Phiếu đồng ý, hồ sơ truyền thông, phân quyền dữ liệu" id="27"/>
    <tableColumn name="Ghi chú / Phát hiện / Yêu cầu khắc phục của Ông Trần Việt Hùng" id="28"/>
    <tableColumn name="TỔNG ĐIỂM PHÒNG" id="29"/>
    <tableColumn name="TỔNG HỢP NHẬN XÉT" id="30"/>
  </tableColumns>
  <tableStyleInfo name="Phản hồi - Phòng Công tác xã hộ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cQynTKiUrR6Ps5BIwuk2MlrusqVGwi3lK9D2PTjUyWaqrzIw/viewform" TargetMode="External"/><Relationship Id="rId2" Type="http://schemas.openxmlformats.org/officeDocument/2006/relationships/hyperlink" Target="https://docs.google.com/forms/d/e/1FAIpQLSfbJz8Qr2_xQq5yueZVmWTGYINpAajZn1zBQ79cu4_Zf1XptA/viewform" TargetMode="External"/><Relationship Id="rId3" Type="http://schemas.openxmlformats.org/officeDocument/2006/relationships/hyperlink" Target="https://docs.google.com/forms/d/e/1FAIpQLScqf_JtC5MEZ1sHNJZr3MCZnzSabbPor5GXh4a7mOKX73i6hg/viewform" TargetMode="External"/><Relationship Id="rId4" Type="http://schemas.openxmlformats.org/officeDocument/2006/relationships/hyperlink" Target="https://docs.google.com/forms/d/e/1FAIpQLScgTWmNIPf4ro8I3iDEGfKiIXCKFv2iWgBedSP4aI_qzvZxaw/viewform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docs.google.com/forms/d/e/1FAIpQLSeZRcUIISro7qJAaYP2J7SooI7ZVjXTfmAGdMTcclyf6RTmHw/viewform" TargetMode="External"/><Relationship Id="rId6" Type="http://schemas.openxmlformats.org/officeDocument/2006/relationships/hyperlink" Target="https://docs.google.com/forms/d/e/1FAIpQLScrk8I0DGDZfnHuxXKvw-4sHTD4GNd-GBOTp3x-kWgzFNr87A/viewform" TargetMode="External"/><Relationship Id="rId7" Type="http://schemas.openxmlformats.org/officeDocument/2006/relationships/hyperlink" Target="https://docs.google.com/forms/d/e/1FAIpQLSc1u6-ptFoeBlT4n8GG8-9eyyQ43LP2uk4ikfMSFf-YlfGixw/viewform" TargetMode="External"/><Relationship Id="rId8" Type="http://schemas.openxmlformats.org/officeDocument/2006/relationships/hyperlink" Target="https://docs.google.com/forms/d/e/1FAIpQLSeubWgiuqrYbtr9CtugInXhXYvP4t8mY0wIxsvTluKVL5Ac-w/viewfor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5.13"/>
    <col customWidth="1" min="2" max="2" width="20.13"/>
    <col customWidth="1" min="3" max="3" width="27.63"/>
    <col customWidth="1" min="4" max="4" width="12.63"/>
    <col customWidth="1" min="5" max="5" width="6.38"/>
  </cols>
  <sheetData>
    <row r="1">
      <c r="A1" s="1" t="s">
        <v>0</v>
      </c>
    </row>
    <row r="3">
      <c r="A3" s="2" t="s">
        <v>1</v>
      </c>
      <c r="B3" s="3" t="s">
        <v>2</v>
      </c>
      <c r="C3" s="2" t="s">
        <v>3</v>
      </c>
      <c r="D3" s="4" t="b">
        <v>0</v>
      </c>
      <c r="E3" s="5" t="s">
        <v>4</v>
      </c>
    </row>
    <row r="5">
      <c r="A5" s="6" t="s">
        <v>5</v>
      </c>
      <c r="B5" s="7" t="s">
        <v>6</v>
      </c>
      <c r="C5" s="8"/>
      <c r="D5" s="9"/>
    </row>
    <row r="6">
      <c r="A6" s="8"/>
      <c r="B6" s="8"/>
      <c r="C6" s="8"/>
      <c r="D6" s="9"/>
    </row>
    <row r="7">
      <c r="A7" s="10" t="s">
        <v>7</v>
      </c>
      <c r="C7" s="8"/>
      <c r="D7" s="9"/>
    </row>
    <row r="8">
      <c r="A8" s="11" t="s">
        <v>8</v>
      </c>
      <c r="B8" s="12" t="s">
        <v>9</v>
      </c>
      <c r="C8" s="8"/>
      <c r="D8" s="9"/>
    </row>
    <row r="9">
      <c r="A9" s="13" t="s">
        <v>10</v>
      </c>
      <c r="C9" s="8"/>
      <c r="D9" s="9"/>
    </row>
    <row r="10">
      <c r="A10" s="8"/>
      <c r="B10" s="8"/>
      <c r="C10" s="8"/>
      <c r="D10" s="9"/>
    </row>
    <row r="11">
      <c r="A11" s="8"/>
      <c r="B11" s="8"/>
      <c r="C11" s="8"/>
      <c r="D11" s="9"/>
    </row>
    <row r="12">
      <c r="A12" s="14" t="s">
        <v>11</v>
      </c>
      <c r="D12" s="9"/>
    </row>
    <row r="13">
      <c r="A13" s="11" t="s">
        <v>12</v>
      </c>
      <c r="B13" s="12" t="s">
        <v>13</v>
      </c>
      <c r="C13" s="11" t="s">
        <v>14</v>
      </c>
      <c r="D13" s="9"/>
    </row>
    <row r="14">
      <c r="A14" s="13" t="s">
        <v>15</v>
      </c>
      <c r="D14" s="9"/>
    </row>
    <row r="15">
      <c r="A15" s="8"/>
      <c r="B15" s="8"/>
      <c r="C15" s="8"/>
      <c r="D15" s="9"/>
    </row>
    <row r="16">
      <c r="A16" s="8"/>
      <c r="B16" s="8"/>
      <c r="C16" s="8"/>
      <c r="D16" s="9"/>
    </row>
    <row r="17">
      <c r="A17" s="15" t="s">
        <v>16</v>
      </c>
      <c r="D17" s="9"/>
    </row>
    <row r="18">
      <c r="A18" s="11" t="s">
        <v>17</v>
      </c>
      <c r="C18" s="11" t="s">
        <v>18</v>
      </c>
      <c r="D18" s="9"/>
    </row>
    <row r="19">
      <c r="A19" s="13" t="s">
        <v>19</v>
      </c>
      <c r="D19" s="9"/>
    </row>
  </sheetData>
  <mergeCells count="8">
    <mergeCell ref="A1:E1"/>
    <mergeCell ref="A7:B7"/>
    <mergeCell ref="A9:B9"/>
    <mergeCell ref="A12:C12"/>
    <mergeCell ref="A14:C14"/>
    <mergeCell ref="A17:C17"/>
    <mergeCell ref="A18:B18"/>
    <mergeCell ref="A19:C19"/>
  </mergeCells>
  <dataValidations>
    <dataValidation type="list" allowBlank="1" sqref="B3">
      <formula1>"Phản hồi - Phòng Điều dưỡng,Phản hồi - Phòng Tổ chức cán bộ,Phản hồi - Phòng Vật tư thiết bị y tế,Phản hồi - Phòng Tài chánh kế toán,Phản hồi - Phòng Quản lý chất lượng,Phản hồi - Phòng Kế hoạch tổng hợp,Phản hồi - Phòng Hành chánh quản trị,Phản hồi - Phò"&amp;"ng Công tác xã hội"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37.63"/>
    <col customWidth="1" min="3" max="3" width="62.63"/>
  </cols>
  <sheetData>
    <row r="1">
      <c r="A1" s="16" t="s">
        <v>20</v>
      </c>
      <c r="B1" s="16" t="s">
        <v>21</v>
      </c>
      <c r="C1" s="16" t="s">
        <v>22</v>
      </c>
    </row>
    <row r="2">
      <c r="A2" s="17">
        <v>1.0</v>
      </c>
      <c r="B2" s="18" t="s">
        <v>23</v>
      </c>
      <c r="C2" s="19" t="s">
        <v>24</v>
      </c>
    </row>
    <row r="3">
      <c r="A3" s="17">
        <v>2.0</v>
      </c>
      <c r="B3" s="18" t="s">
        <v>25</v>
      </c>
      <c r="C3" s="19" t="s">
        <v>26</v>
      </c>
    </row>
    <row r="4">
      <c r="A4" s="17">
        <v>3.0</v>
      </c>
      <c r="B4" s="18" t="s">
        <v>27</v>
      </c>
      <c r="C4" s="19" t="s">
        <v>28</v>
      </c>
    </row>
    <row r="5">
      <c r="A5" s="17">
        <v>4.0</v>
      </c>
      <c r="B5" s="18" t="s">
        <v>29</v>
      </c>
      <c r="C5" s="19" t="s">
        <v>30</v>
      </c>
    </row>
    <row r="6">
      <c r="A6" s="17">
        <v>5.0</v>
      </c>
      <c r="B6" s="18" t="s">
        <v>31</v>
      </c>
      <c r="C6" s="19" t="s">
        <v>32</v>
      </c>
    </row>
    <row r="7">
      <c r="A7" s="17">
        <v>6.0</v>
      </c>
      <c r="B7" s="18" t="s">
        <v>33</v>
      </c>
      <c r="C7" s="19" t="s">
        <v>34</v>
      </c>
    </row>
    <row r="8">
      <c r="A8" s="17">
        <v>7.0</v>
      </c>
      <c r="B8" s="18" t="s">
        <v>35</v>
      </c>
      <c r="C8" s="19" t="s">
        <v>36</v>
      </c>
    </row>
    <row r="9">
      <c r="A9" s="17">
        <v>8.0</v>
      </c>
      <c r="B9" s="18" t="s">
        <v>37</v>
      </c>
      <c r="C9" s="19" t="s">
        <v>38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8" width="37.63"/>
    <col customWidth="1" min="29" max="29" width="18.88"/>
    <col customWidth="1" min="30" max="30" width="56.38"/>
    <col customWidth="1" min="31" max="34" width="18.88"/>
  </cols>
  <sheetData>
    <row r="1" ht="22.5" customHeight="1">
      <c r="A1" s="20" t="s">
        <v>39</v>
      </c>
      <c r="B1" s="20" t="s">
        <v>40</v>
      </c>
      <c r="C1" s="20" t="s">
        <v>41</v>
      </c>
      <c r="D1" s="20" t="s">
        <v>42</v>
      </c>
      <c r="E1" s="20" t="s">
        <v>43</v>
      </c>
      <c r="F1" s="20" t="s">
        <v>44</v>
      </c>
      <c r="G1" s="20" t="s">
        <v>45</v>
      </c>
      <c r="H1" s="20" t="s">
        <v>46</v>
      </c>
      <c r="I1" s="20" t="s">
        <v>47</v>
      </c>
      <c r="J1" s="20" t="s">
        <v>48</v>
      </c>
      <c r="K1" s="20" t="s">
        <v>49</v>
      </c>
      <c r="L1" s="20" t="s">
        <v>50</v>
      </c>
      <c r="M1" s="20" t="s">
        <v>51</v>
      </c>
      <c r="N1" s="20" t="s">
        <v>52</v>
      </c>
      <c r="O1" s="20" t="s">
        <v>53</v>
      </c>
      <c r="P1" s="20" t="s">
        <v>54</v>
      </c>
      <c r="Q1" s="20" t="s">
        <v>55</v>
      </c>
      <c r="R1" s="20" t="s">
        <v>56</v>
      </c>
      <c r="S1" s="20" t="s">
        <v>57</v>
      </c>
      <c r="T1" s="20" t="s">
        <v>58</v>
      </c>
      <c r="U1" s="20" t="s">
        <v>59</v>
      </c>
      <c r="V1" s="20" t="s">
        <v>60</v>
      </c>
      <c r="W1" s="20" t="s">
        <v>61</v>
      </c>
      <c r="X1" s="20" t="s">
        <v>62</v>
      </c>
      <c r="Y1" s="20" t="s">
        <v>63</v>
      </c>
      <c r="Z1" s="20" t="s">
        <v>64</v>
      </c>
      <c r="AA1" s="20" t="s">
        <v>65</v>
      </c>
      <c r="AB1" s="20" t="s">
        <v>66</v>
      </c>
      <c r="AC1" s="21" t="s">
        <v>67</v>
      </c>
      <c r="AD1" s="21" t="s">
        <v>68</v>
      </c>
    </row>
    <row r="2" ht="22.5" customHeight="1">
      <c r="A2" s="22"/>
      <c r="B2" s="23"/>
      <c r="C2" s="23"/>
      <c r="D2" s="23"/>
      <c r="E2" s="23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5"/>
      <c r="AD2" s="23"/>
    </row>
    <row r="3" ht="22.5" customHeight="1">
      <c r="A3" s="22"/>
      <c r="B3" s="23"/>
      <c r="C3" s="23"/>
      <c r="D3" s="23"/>
      <c r="E3" s="23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6"/>
      <c r="AC3" s="27"/>
      <c r="AD3" s="23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8" width="37.63"/>
    <col customWidth="1" min="29" max="29" width="18.88"/>
    <col customWidth="1" min="30" max="30" width="56.38"/>
    <col customWidth="1" min="31" max="34" width="18.88"/>
  </cols>
  <sheetData>
    <row r="1" ht="22.5" customHeight="1">
      <c r="A1" s="20" t="s">
        <v>39</v>
      </c>
      <c r="B1" s="20" t="s">
        <v>40</v>
      </c>
      <c r="C1" s="20" t="s">
        <v>41</v>
      </c>
      <c r="D1" s="20" t="s">
        <v>42</v>
      </c>
      <c r="E1" s="20" t="s">
        <v>69</v>
      </c>
      <c r="F1" s="20" t="s">
        <v>70</v>
      </c>
      <c r="G1" s="20" t="s">
        <v>71</v>
      </c>
      <c r="H1" s="20" t="s">
        <v>43</v>
      </c>
      <c r="I1" s="20" t="s">
        <v>44</v>
      </c>
      <c r="J1" s="20" t="s">
        <v>45</v>
      </c>
      <c r="K1" s="20" t="s">
        <v>72</v>
      </c>
      <c r="L1" s="20" t="s">
        <v>46</v>
      </c>
      <c r="M1" s="20" t="s">
        <v>47</v>
      </c>
      <c r="N1" s="20" t="s">
        <v>48</v>
      </c>
      <c r="O1" s="20" t="s">
        <v>49</v>
      </c>
      <c r="P1" s="20" t="s">
        <v>50</v>
      </c>
      <c r="Q1" s="20" t="s">
        <v>51</v>
      </c>
      <c r="R1" s="20" t="s">
        <v>52</v>
      </c>
      <c r="S1" s="20" t="s">
        <v>53</v>
      </c>
      <c r="T1" s="20" t="s">
        <v>54</v>
      </c>
      <c r="U1" s="20" t="s">
        <v>59</v>
      </c>
      <c r="V1" s="20" t="s">
        <v>60</v>
      </c>
      <c r="W1" s="20" t="s">
        <v>61</v>
      </c>
      <c r="X1" s="20" t="s">
        <v>62</v>
      </c>
      <c r="Y1" s="20" t="s">
        <v>63</v>
      </c>
      <c r="Z1" s="20" t="s">
        <v>64</v>
      </c>
      <c r="AA1" s="20" t="s">
        <v>73</v>
      </c>
      <c r="AB1" s="20" t="s">
        <v>66</v>
      </c>
      <c r="AC1" s="21" t="s">
        <v>67</v>
      </c>
      <c r="AD1" s="21" t="s">
        <v>68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9" width="37.63"/>
    <col customWidth="1" min="30" max="30" width="18.88"/>
    <col customWidth="1" min="31" max="31" width="56.38"/>
    <col customWidth="1" min="32" max="35" width="18.88"/>
  </cols>
  <sheetData>
    <row r="1" ht="22.5" customHeight="1">
      <c r="A1" s="20" t="s">
        <v>39</v>
      </c>
      <c r="B1" s="20" t="s">
        <v>40</v>
      </c>
      <c r="C1" s="20" t="s">
        <v>74</v>
      </c>
      <c r="D1" s="20" t="s">
        <v>75</v>
      </c>
      <c r="E1" s="20" t="s">
        <v>76</v>
      </c>
      <c r="F1" s="20" t="s">
        <v>77</v>
      </c>
      <c r="G1" s="20" t="s">
        <v>41</v>
      </c>
      <c r="H1" s="20" t="s">
        <v>42</v>
      </c>
      <c r="I1" s="20" t="s">
        <v>43</v>
      </c>
      <c r="J1" s="20" t="s">
        <v>44</v>
      </c>
      <c r="K1" s="20" t="s">
        <v>45</v>
      </c>
      <c r="L1" s="20" t="s">
        <v>46</v>
      </c>
      <c r="M1" s="20" t="s">
        <v>47</v>
      </c>
      <c r="N1" s="20" t="s">
        <v>48</v>
      </c>
      <c r="O1" s="20" t="s">
        <v>49</v>
      </c>
      <c r="P1" s="20" t="s">
        <v>50</v>
      </c>
      <c r="Q1" s="20" t="s">
        <v>51</v>
      </c>
      <c r="R1" s="20" t="s">
        <v>78</v>
      </c>
      <c r="S1" s="20" t="s">
        <v>52</v>
      </c>
      <c r="T1" s="20" t="s">
        <v>53</v>
      </c>
      <c r="U1" s="20" t="s">
        <v>54</v>
      </c>
      <c r="V1" s="20" t="s">
        <v>59</v>
      </c>
      <c r="W1" s="20" t="s">
        <v>60</v>
      </c>
      <c r="X1" s="20" t="s">
        <v>61</v>
      </c>
      <c r="Y1" s="20" t="s">
        <v>62</v>
      </c>
      <c r="Z1" s="20" t="s">
        <v>63</v>
      </c>
      <c r="AA1" s="20" t="s">
        <v>64</v>
      </c>
      <c r="AB1" s="20" t="s">
        <v>79</v>
      </c>
      <c r="AC1" s="20" t="s">
        <v>66</v>
      </c>
      <c r="AD1" s="21" t="s">
        <v>67</v>
      </c>
      <c r="AE1" s="21" t="s">
        <v>68</v>
      </c>
    </row>
    <row r="2" ht="22.5" customHeight="1">
      <c r="A2" s="22"/>
      <c r="B2" s="23"/>
      <c r="C2" s="23"/>
      <c r="D2" s="23"/>
      <c r="E2" s="23"/>
      <c r="F2" s="23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5"/>
      <c r="AE2" s="23"/>
    </row>
    <row r="3" ht="22.5" customHeight="1">
      <c r="A3" s="22"/>
      <c r="B3" s="23"/>
      <c r="C3" s="23"/>
      <c r="D3" s="23"/>
      <c r="E3" s="23"/>
      <c r="F3" s="23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6"/>
      <c r="AD3" s="27"/>
      <c r="AE3" s="23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8" width="37.63"/>
    <col customWidth="1" min="29" max="29" width="18.88"/>
    <col customWidth="1" min="30" max="30" width="56.38"/>
    <col customWidth="1" min="31" max="34" width="18.88"/>
  </cols>
  <sheetData>
    <row r="1" ht="22.5" customHeight="1">
      <c r="A1" s="20" t="s">
        <v>39</v>
      </c>
      <c r="B1" s="20" t="s">
        <v>40</v>
      </c>
      <c r="C1" s="20" t="s">
        <v>41</v>
      </c>
      <c r="D1" s="20" t="s">
        <v>42</v>
      </c>
      <c r="E1" s="20" t="s">
        <v>43</v>
      </c>
      <c r="F1" s="20" t="s">
        <v>44</v>
      </c>
      <c r="G1" s="20" t="s">
        <v>45</v>
      </c>
      <c r="H1" s="20" t="s">
        <v>80</v>
      </c>
      <c r="I1" s="20" t="s">
        <v>46</v>
      </c>
      <c r="J1" s="20" t="s">
        <v>47</v>
      </c>
      <c r="K1" s="20" t="s">
        <v>48</v>
      </c>
      <c r="L1" s="20" t="s">
        <v>49</v>
      </c>
      <c r="M1" s="20" t="s">
        <v>50</v>
      </c>
      <c r="N1" s="20" t="s">
        <v>51</v>
      </c>
      <c r="O1" s="20" t="s">
        <v>81</v>
      </c>
      <c r="P1" s="20" t="s">
        <v>82</v>
      </c>
      <c r="Q1" s="20" t="s">
        <v>52</v>
      </c>
      <c r="R1" s="20" t="s">
        <v>53</v>
      </c>
      <c r="S1" s="20" t="s">
        <v>54</v>
      </c>
      <c r="T1" s="20" t="s">
        <v>59</v>
      </c>
      <c r="U1" s="20" t="s">
        <v>60</v>
      </c>
      <c r="V1" s="20" t="s">
        <v>61</v>
      </c>
      <c r="W1" s="20" t="s">
        <v>62</v>
      </c>
      <c r="X1" s="20" t="s">
        <v>63</v>
      </c>
      <c r="Y1" s="20" t="s">
        <v>64</v>
      </c>
      <c r="Z1" s="20" t="s">
        <v>83</v>
      </c>
      <c r="AA1" s="20" t="s">
        <v>84</v>
      </c>
      <c r="AB1" s="20" t="s">
        <v>66</v>
      </c>
      <c r="AC1" s="21" t="s">
        <v>67</v>
      </c>
      <c r="AD1" s="21" t="s">
        <v>68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8" width="37.63"/>
    <col customWidth="1" min="29" max="29" width="18.88"/>
    <col customWidth="1" min="30" max="30" width="56.38"/>
    <col customWidth="1" min="31" max="34" width="18.88"/>
  </cols>
  <sheetData>
    <row r="1" ht="22.5" customHeight="1">
      <c r="A1" s="20" t="s">
        <v>39</v>
      </c>
      <c r="B1" s="20" t="s">
        <v>40</v>
      </c>
      <c r="C1" s="20" t="s">
        <v>41</v>
      </c>
      <c r="D1" s="20" t="s">
        <v>42</v>
      </c>
      <c r="E1" s="20" t="s">
        <v>43</v>
      </c>
      <c r="F1" s="20" t="s">
        <v>44</v>
      </c>
      <c r="G1" s="20" t="s">
        <v>45</v>
      </c>
      <c r="H1" s="20" t="s">
        <v>46</v>
      </c>
      <c r="I1" s="20" t="s">
        <v>47</v>
      </c>
      <c r="J1" s="20" t="s">
        <v>48</v>
      </c>
      <c r="K1" s="20" t="s">
        <v>49</v>
      </c>
      <c r="L1" s="20" t="s">
        <v>50</v>
      </c>
      <c r="M1" s="20" t="s">
        <v>51</v>
      </c>
      <c r="N1" s="20" t="s">
        <v>52</v>
      </c>
      <c r="O1" s="20" t="s">
        <v>53</v>
      </c>
      <c r="P1" s="20" t="s">
        <v>54</v>
      </c>
      <c r="Q1" s="20" t="s">
        <v>59</v>
      </c>
      <c r="R1" s="20" t="s">
        <v>60</v>
      </c>
      <c r="S1" s="20" t="s">
        <v>61</v>
      </c>
      <c r="T1" s="20" t="s">
        <v>62</v>
      </c>
      <c r="U1" s="20" t="s">
        <v>63</v>
      </c>
      <c r="V1" s="20" t="s">
        <v>64</v>
      </c>
      <c r="W1" s="20" t="s">
        <v>85</v>
      </c>
      <c r="X1" s="20" t="s">
        <v>86</v>
      </c>
      <c r="Y1" s="20" t="s">
        <v>87</v>
      </c>
      <c r="Z1" s="20" t="s">
        <v>88</v>
      </c>
      <c r="AA1" s="20" t="s">
        <v>89</v>
      </c>
      <c r="AB1" s="20" t="s">
        <v>66</v>
      </c>
      <c r="AC1" s="21" t="s">
        <v>67</v>
      </c>
      <c r="AD1" s="21" t="s">
        <v>68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9" width="37.63"/>
    <col customWidth="1" min="30" max="30" width="18.88"/>
    <col customWidth="1" min="31" max="31" width="56.38"/>
    <col customWidth="1" min="32" max="35" width="18.88"/>
  </cols>
  <sheetData>
    <row r="1" ht="22.5" customHeight="1">
      <c r="A1" s="20" t="s">
        <v>39</v>
      </c>
      <c r="B1" s="20" t="s">
        <v>40</v>
      </c>
      <c r="C1" s="20" t="s">
        <v>90</v>
      </c>
      <c r="D1" s="20" t="s">
        <v>91</v>
      </c>
      <c r="E1" s="20" t="s">
        <v>92</v>
      </c>
      <c r="F1" s="20" t="s">
        <v>93</v>
      </c>
      <c r="G1" s="20" t="s">
        <v>41</v>
      </c>
      <c r="H1" s="20" t="s">
        <v>42</v>
      </c>
      <c r="I1" s="20" t="s">
        <v>43</v>
      </c>
      <c r="J1" s="20" t="s">
        <v>44</v>
      </c>
      <c r="K1" s="20" t="s">
        <v>45</v>
      </c>
      <c r="L1" s="20" t="s">
        <v>94</v>
      </c>
      <c r="M1" s="20" t="s">
        <v>46</v>
      </c>
      <c r="N1" s="20" t="s">
        <v>47</v>
      </c>
      <c r="O1" s="20" t="s">
        <v>95</v>
      </c>
      <c r="P1" s="20" t="s">
        <v>48</v>
      </c>
      <c r="Q1" s="20" t="s">
        <v>49</v>
      </c>
      <c r="R1" s="20" t="s">
        <v>50</v>
      </c>
      <c r="S1" s="20" t="s">
        <v>51</v>
      </c>
      <c r="T1" s="20" t="s">
        <v>52</v>
      </c>
      <c r="U1" s="20" t="s">
        <v>53</v>
      </c>
      <c r="V1" s="20" t="s">
        <v>54</v>
      </c>
      <c r="W1" s="20" t="s">
        <v>59</v>
      </c>
      <c r="X1" s="20" t="s">
        <v>60</v>
      </c>
      <c r="Y1" s="20" t="s">
        <v>61</v>
      </c>
      <c r="Z1" s="20" t="s">
        <v>62</v>
      </c>
      <c r="AA1" s="20" t="s">
        <v>63</v>
      </c>
      <c r="AB1" s="20" t="s">
        <v>64</v>
      </c>
      <c r="AC1" s="20" t="s">
        <v>66</v>
      </c>
      <c r="AD1" s="21" t="s">
        <v>67</v>
      </c>
      <c r="AE1" s="21" t="s">
        <v>68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8" width="37.63"/>
    <col customWidth="1" min="29" max="29" width="18.88"/>
    <col customWidth="1" min="30" max="30" width="56.38"/>
    <col customWidth="1" min="31" max="34" width="18.88"/>
  </cols>
  <sheetData>
    <row r="1" ht="22.5" customHeight="1">
      <c r="A1" s="20" t="s">
        <v>39</v>
      </c>
      <c r="B1" s="20" t="s">
        <v>40</v>
      </c>
      <c r="C1" s="20" t="s">
        <v>41</v>
      </c>
      <c r="D1" s="20" t="s">
        <v>42</v>
      </c>
      <c r="E1" s="20" t="s">
        <v>43</v>
      </c>
      <c r="F1" s="20" t="s">
        <v>44</v>
      </c>
      <c r="G1" s="20" t="s">
        <v>45</v>
      </c>
      <c r="H1" s="20" t="s">
        <v>46</v>
      </c>
      <c r="I1" s="20" t="s">
        <v>47</v>
      </c>
      <c r="J1" s="20" t="s">
        <v>48</v>
      </c>
      <c r="K1" s="20" t="s">
        <v>49</v>
      </c>
      <c r="L1" s="20" t="s">
        <v>50</v>
      </c>
      <c r="M1" s="20" t="s">
        <v>51</v>
      </c>
      <c r="N1" s="20" t="s">
        <v>96</v>
      </c>
      <c r="O1" s="20" t="s">
        <v>97</v>
      </c>
      <c r="P1" s="20" t="s">
        <v>98</v>
      </c>
      <c r="Q1" s="20" t="s">
        <v>99</v>
      </c>
      <c r="R1" s="20" t="s">
        <v>52</v>
      </c>
      <c r="S1" s="20" t="s">
        <v>53</v>
      </c>
      <c r="T1" s="20" t="s">
        <v>54</v>
      </c>
      <c r="U1" s="20" t="s">
        <v>100</v>
      </c>
      <c r="V1" s="20" t="s">
        <v>59</v>
      </c>
      <c r="W1" s="20" t="s">
        <v>60</v>
      </c>
      <c r="X1" s="20" t="s">
        <v>61</v>
      </c>
      <c r="Y1" s="20" t="s">
        <v>62</v>
      </c>
      <c r="Z1" s="20" t="s">
        <v>63</v>
      </c>
      <c r="AA1" s="20" t="s">
        <v>64</v>
      </c>
      <c r="AB1" s="20" t="s">
        <v>66</v>
      </c>
      <c r="AC1" s="21" t="s">
        <v>67</v>
      </c>
      <c r="AD1" s="21" t="s">
        <v>68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8" width="37.63"/>
    <col customWidth="1" min="29" max="29" width="18.88"/>
    <col customWidth="1" min="30" max="30" width="56.38"/>
    <col customWidth="1" min="31" max="34" width="18.88"/>
  </cols>
  <sheetData>
    <row r="1" ht="22.5" customHeight="1">
      <c r="A1" s="20" t="s">
        <v>39</v>
      </c>
      <c r="B1" s="20" t="s">
        <v>40</v>
      </c>
      <c r="C1" s="20" t="s">
        <v>41</v>
      </c>
      <c r="D1" s="20" t="s">
        <v>42</v>
      </c>
      <c r="E1" s="20" t="s">
        <v>43</v>
      </c>
      <c r="F1" s="20" t="s">
        <v>44</v>
      </c>
      <c r="G1" s="20" t="s">
        <v>45</v>
      </c>
      <c r="H1" s="20" t="s">
        <v>46</v>
      </c>
      <c r="I1" s="20" t="s">
        <v>47</v>
      </c>
      <c r="J1" s="20" t="s">
        <v>48</v>
      </c>
      <c r="K1" s="20" t="s">
        <v>49</v>
      </c>
      <c r="L1" s="20" t="s">
        <v>50</v>
      </c>
      <c r="M1" s="20" t="s">
        <v>51</v>
      </c>
      <c r="N1" s="20" t="s">
        <v>101</v>
      </c>
      <c r="O1" s="20" t="s">
        <v>102</v>
      </c>
      <c r="P1" s="20" t="s">
        <v>52</v>
      </c>
      <c r="Q1" s="20" t="s">
        <v>53</v>
      </c>
      <c r="R1" s="20" t="s">
        <v>54</v>
      </c>
      <c r="S1" s="20" t="s">
        <v>103</v>
      </c>
      <c r="T1" s="20" t="s">
        <v>59</v>
      </c>
      <c r="U1" s="20" t="s">
        <v>60</v>
      </c>
      <c r="V1" s="20" t="s">
        <v>61</v>
      </c>
      <c r="W1" s="20" t="s">
        <v>62</v>
      </c>
      <c r="X1" s="20" t="s">
        <v>63</v>
      </c>
      <c r="Y1" s="20" t="s">
        <v>64</v>
      </c>
      <c r="Z1" s="20" t="s">
        <v>104</v>
      </c>
      <c r="AA1" s="20" t="s">
        <v>105</v>
      </c>
      <c r="AB1" s="20" t="s">
        <v>66</v>
      </c>
      <c r="AC1" s="21" t="s">
        <v>67</v>
      </c>
      <c r="AD1" s="21" t="s">
        <v>68</v>
      </c>
    </row>
    <row r="2" ht="22.5" customHeight="1">
      <c r="A2" s="22"/>
      <c r="B2" s="23"/>
      <c r="C2" s="23"/>
      <c r="D2" s="2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5"/>
      <c r="AD2" s="24"/>
    </row>
    <row r="3" ht="22.5" customHeight="1">
      <c r="A3" s="28"/>
      <c r="B3" s="29"/>
      <c r="C3" s="30"/>
      <c r="D3" s="30"/>
      <c r="E3" s="30"/>
      <c r="F3" s="29"/>
      <c r="G3" s="2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1"/>
      <c r="AD3" s="30"/>
    </row>
    <row r="4" ht="22.5" customHeight="1">
      <c r="A4" s="28"/>
      <c r="B4" s="29"/>
      <c r="C4" s="30"/>
      <c r="D4" s="30"/>
      <c r="E4" s="30"/>
      <c r="F4" s="30"/>
      <c r="G4" s="30"/>
      <c r="H4" s="30"/>
      <c r="I4" s="29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1"/>
      <c r="AD4" s="30"/>
    </row>
    <row r="5" ht="22.5" customHeight="1">
      <c r="A5" s="28"/>
      <c r="B5" s="29"/>
      <c r="C5" s="30"/>
      <c r="D5" s="30"/>
      <c r="E5" s="30"/>
      <c r="F5" s="30"/>
      <c r="G5" s="30"/>
      <c r="H5" s="30"/>
      <c r="I5" s="30"/>
      <c r="J5" s="30"/>
      <c r="K5" s="29"/>
      <c r="L5" s="29"/>
      <c r="M5" s="29"/>
      <c r="N5" s="29"/>
      <c r="O5" s="29"/>
      <c r="P5" s="29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1"/>
      <c r="AD5" s="29"/>
    </row>
    <row r="6" ht="22.5" customHeight="1">
      <c r="A6" s="28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1"/>
      <c r="AD6" s="30"/>
    </row>
    <row r="7" ht="22.5" customHeight="1">
      <c r="A7" s="28"/>
      <c r="B7" s="29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29"/>
      <c r="V7" s="29"/>
      <c r="W7" s="29"/>
      <c r="X7" s="29"/>
      <c r="Y7" s="29"/>
      <c r="Z7" s="29"/>
      <c r="AA7" s="29"/>
      <c r="AB7" s="30"/>
      <c r="AC7" s="31"/>
      <c r="AD7" s="30"/>
    </row>
    <row r="8" ht="22.5" customHeight="1">
      <c r="A8" s="22"/>
      <c r="B8" s="2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3"/>
      <c r="V8" s="23"/>
      <c r="W8" s="23"/>
      <c r="X8" s="23"/>
      <c r="Y8" s="23"/>
      <c r="Z8" s="23"/>
      <c r="AA8" s="23"/>
      <c r="AB8" s="26"/>
      <c r="AC8" s="27"/>
      <c r="AD8" s="24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15.25"/>
    <col customWidth="1" min="3" max="3" width="23.25"/>
    <col customWidth="1" min="4" max="4" width="13.25"/>
    <col customWidth="1" min="5" max="5" width="9.5"/>
    <col customWidth="1" min="6" max="6" width="8.5"/>
  </cols>
  <sheetData>
    <row r="1">
      <c r="A1" s="32" t="s">
        <v>106</v>
      </c>
    </row>
    <row r="2">
      <c r="A2" s="33" t="s">
        <v>107</v>
      </c>
    </row>
    <row r="4">
      <c r="A4" s="34" t="s">
        <v>20</v>
      </c>
      <c r="B4" s="34" t="s">
        <v>108</v>
      </c>
      <c r="C4" s="34" t="s">
        <v>109</v>
      </c>
      <c r="D4" s="34" t="s">
        <v>110</v>
      </c>
      <c r="E4" s="34" t="s">
        <v>111</v>
      </c>
      <c r="F4" s="34" t="s">
        <v>112</v>
      </c>
    </row>
    <row r="5">
      <c r="A5" s="35">
        <v>1.0</v>
      </c>
      <c r="B5" s="35" t="s">
        <v>113</v>
      </c>
      <c r="C5" s="35" t="s">
        <v>27</v>
      </c>
      <c r="D5" s="35" t="s">
        <v>114</v>
      </c>
      <c r="E5" s="35">
        <v>20.0</v>
      </c>
      <c r="F5" s="35">
        <v>100.0</v>
      </c>
    </row>
    <row r="6">
      <c r="A6" s="35">
        <v>2.0</v>
      </c>
      <c r="B6" s="35" t="s">
        <v>113</v>
      </c>
      <c r="C6" s="35" t="s">
        <v>29</v>
      </c>
      <c r="D6" s="35" t="s">
        <v>115</v>
      </c>
      <c r="E6" s="35">
        <v>20.0</v>
      </c>
      <c r="F6" s="35">
        <v>100.0</v>
      </c>
    </row>
    <row r="7">
      <c r="A7" s="35">
        <v>3.0</v>
      </c>
      <c r="B7" s="35" t="s">
        <v>113</v>
      </c>
      <c r="C7" s="35" t="s">
        <v>33</v>
      </c>
      <c r="D7" s="35" t="s">
        <v>116</v>
      </c>
      <c r="E7" s="35">
        <v>20.0</v>
      </c>
      <c r="F7" s="35">
        <v>100.0</v>
      </c>
    </row>
    <row r="8">
      <c r="A8" s="35">
        <v>4.0</v>
      </c>
      <c r="B8" s="35" t="s">
        <v>113</v>
      </c>
      <c r="C8" s="35" t="s">
        <v>25</v>
      </c>
      <c r="D8" s="35" t="s">
        <v>117</v>
      </c>
      <c r="E8" s="35">
        <v>20.0</v>
      </c>
      <c r="F8" s="35">
        <v>100.0</v>
      </c>
    </row>
    <row r="9">
      <c r="A9" s="35">
        <v>5.0</v>
      </c>
      <c r="B9" s="35" t="s">
        <v>113</v>
      </c>
      <c r="C9" s="35" t="s">
        <v>37</v>
      </c>
      <c r="D9" s="35" t="s">
        <v>118</v>
      </c>
      <c r="E9" s="35">
        <v>20.0</v>
      </c>
      <c r="F9" s="35">
        <v>100.0</v>
      </c>
    </row>
    <row r="10">
      <c r="A10" s="35">
        <v>6.0</v>
      </c>
      <c r="B10" s="35" t="s">
        <v>113</v>
      </c>
      <c r="C10" s="35" t="s">
        <v>31</v>
      </c>
      <c r="D10" s="35" t="s">
        <v>119</v>
      </c>
      <c r="E10" s="35">
        <v>20.0</v>
      </c>
      <c r="F10" s="35">
        <v>100.0</v>
      </c>
    </row>
    <row r="11">
      <c r="A11" s="35">
        <v>7.0</v>
      </c>
      <c r="B11" s="35" t="s">
        <v>113</v>
      </c>
      <c r="C11" s="35" t="s">
        <v>35</v>
      </c>
      <c r="D11" s="35" t="s">
        <v>120</v>
      </c>
      <c r="E11" s="35">
        <v>20.0</v>
      </c>
      <c r="F11" s="35">
        <v>100.0</v>
      </c>
    </row>
    <row r="12">
      <c r="A12" s="35">
        <v>8.0</v>
      </c>
      <c r="B12" s="35" t="s">
        <v>113</v>
      </c>
      <c r="C12" s="35" t="s">
        <v>23</v>
      </c>
      <c r="D12" s="35" t="s">
        <v>121</v>
      </c>
      <c r="E12" s="35">
        <v>20.0</v>
      </c>
      <c r="F12" s="35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00.0"/>
    <col customWidth="1" min="3" max="6" width="8.63"/>
  </cols>
  <sheetData>
    <row r="1">
      <c r="A1" s="34" t="s">
        <v>122</v>
      </c>
      <c r="B1" s="34" t="s">
        <v>123</v>
      </c>
    </row>
    <row r="2">
      <c r="A2" s="35" t="s">
        <v>124</v>
      </c>
      <c r="B2" s="35" t="s">
        <v>125</v>
      </c>
    </row>
    <row r="3">
      <c r="A3" s="35" t="s">
        <v>126</v>
      </c>
      <c r="B3" s="35" t="s">
        <v>127</v>
      </c>
    </row>
    <row r="4">
      <c r="A4" s="35" t="s">
        <v>128</v>
      </c>
      <c r="B4" s="35" t="s">
        <v>129</v>
      </c>
    </row>
    <row r="5">
      <c r="A5" s="35" t="s">
        <v>130</v>
      </c>
      <c r="B5" s="35" t="s">
        <v>131</v>
      </c>
    </row>
    <row r="6">
      <c r="A6" s="35" t="s">
        <v>132</v>
      </c>
      <c r="B6" s="35" t="s">
        <v>133</v>
      </c>
    </row>
    <row r="7">
      <c r="A7" s="35" t="s">
        <v>134</v>
      </c>
      <c r="B7" s="35" t="s">
        <v>135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9.38"/>
    <col customWidth="1" min="3" max="3" width="31.63"/>
    <col customWidth="1" min="4" max="4" width="13.88"/>
    <col customWidth="1" min="5" max="5" width="49.63"/>
    <col customWidth="1" min="6" max="6" width="8.63"/>
  </cols>
  <sheetData>
    <row r="1">
      <c r="A1" s="34" t="s">
        <v>136</v>
      </c>
      <c r="B1" s="34" t="s">
        <v>137</v>
      </c>
      <c r="C1" s="34" t="s">
        <v>138</v>
      </c>
      <c r="D1" s="34" t="s">
        <v>139</v>
      </c>
      <c r="E1" s="34" t="s">
        <v>140</v>
      </c>
    </row>
    <row r="2">
      <c r="A2" s="35" t="s">
        <v>141</v>
      </c>
      <c r="B2" s="35" t="s">
        <v>142</v>
      </c>
      <c r="C2" s="35" t="s">
        <v>143</v>
      </c>
      <c r="D2" s="35" t="s">
        <v>144</v>
      </c>
      <c r="E2" s="35" t="s">
        <v>145</v>
      </c>
    </row>
    <row r="3">
      <c r="A3" s="35" t="s">
        <v>141</v>
      </c>
      <c r="B3" s="35" t="s">
        <v>146</v>
      </c>
      <c r="C3" s="35" t="s">
        <v>147</v>
      </c>
      <c r="D3" s="35" t="s">
        <v>148</v>
      </c>
      <c r="E3" s="35" t="s">
        <v>149</v>
      </c>
    </row>
    <row r="4">
      <c r="A4" s="35" t="s">
        <v>141</v>
      </c>
      <c r="B4" s="35" t="s">
        <v>150</v>
      </c>
      <c r="C4" s="35" t="s">
        <v>151</v>
      </c>
      <c r="D4" s="35" t="s">
        <v>152</v>
      </c>
      <c r="E4" s="35" t="s">
        <v>153</v>
      </c>
    </row>
    <row r="5">
      <c r="A5" s="35" t="s">
        <v>141</v>
      </c>
      <c r="B5" s="35" t="s">
        <v>154</v>
      </c>
      <c r="C5" s="35" t="s">
        <v>155</v>
      </c>
      <c r="D5" s="35" t="s">
        <v>152</v>
      </c>
      <c r="E5" s="35" t="s">
        <v>156</v>
      </c>
    </row>
    <row r="6">
      <c r="A6" s="35" t="s">
        <v>141</v>
      </c>
      <c r="B6" s="35" t="s">
        <v>157</v>
      </c>
      <c r="C6" s="35" t="s">
        <v>158</v>
      </c>
      <c r="D6" s="35" t="s">
        <v>152</v>
      </c>
      <c r="E6" s="35" t="s">
        <v>159</v>
      </c>
    </row>
    <row r="7">
      <c r="A7" s="35" t="s">
        <v>141</v>
      </c>
      <c r="B7" s="35" t="s">
        <v>160</v>
      </c>
      <c r="C7" s="35" t="s">
        <v>161</v>
      </c>
      <c r="D7" s="35" t="s">
        <v>152</v>
      </c>
      <c r="E7" s="35" t="s">
        <v>162</v>
      </c>
    </row>
    <row r="8">
      <c r="A8" s="35" t="s">
        <v>141</v>
      </c>
      <c r="B8" s="35" t="s">
        <v>163</v>
      </c>
      <c r="C8" s="35" t="s">
        <v>164</v>
      </c>
      <c r="D8" s="35" t="s">
        <v>152</v>
      </c>
      <c r="E8" s="35" t="s">
        <v>165</v>
      </c>
    </row>
    <row r="9">
      <c r="A9" s="35" t="s">
        <v>141</v>
      </c>
      <c r="B9" s="35" t="s">
        <v>166</v>
      </c>
      <c r="C9" s="35" t="s">
        <v>27</v>
      </c>
      <c r="D9" s="35" t="s">
        <v>167</v>
      </c>
      <c r="E9" s="35" t="s">
        <v>168</v>
      </c>
    </row>
    <row r="10">
      <c r="A10" s="35" t="s">
        <v>169</v>
      </c>
      <c r="B10" s="35" t="s">
        <v>170</v>
      </c>
      <c r="C10" s="35" t="s">
        <v>171</v>
      </c>
      <c r="D10" s="35" t="s">
        <v>144</v>
      </c>
      <c r="E10" s="35" t="s">
        <v>172</v>
      </c>
    </row>
    <row r="11">
      <c r="A11" s="35" t="s">
        <v>169</v>
      </c>
      <c r="B11" s="35" t="s">
        <v>173</v>
      </c>
      <c r="C11" s="35" t="s">
        <v>174</v>
      </c>
      <c r="D11" s="35" t="s">
        <v>148</v>
      </c>
      <c r="E11" s="35" t="s">
        <v>175</v>
      </c>
    </row>
    <row r="12">
      <c r="A12" s="35" t="s">
        <v>169</v>
      </c>
      <c r="B12" s="35" t="s">
        <v>176</v>
      </c>
      <c r="C12" s="35" t="s">
        <v>177</v>
      </c>
      <c r="D12" s="35" t="s">
        <v>152</v>
      </c>
      <c r="E12" s="35" t="s">
        <v>178</v>
      </c>
    </row>
    <row r="13">
      <c r="A13" s="35" t="s">
        <v>169</v>
      </c>
      <c r="B13" s="35" t="s">
        <v>179</v>
      </c>
      <c r="C13" s="35" t="s">
        <v>180</v>
      </c>
      <c r="D13" s="35" t="s">
        <v>152</v>
      </c>
      <c r="E13" s="35" t="s">
        <v>181</v>
      </c>
    </row>
    <row r="14">
      <c r="A14" s="35" t="s">
        <v>169</v>
      </c>
      <c r="B14" s="35" t="s">
        <v>182</v>
      </c>
      <c r="C14" s="35" t="s">
        <v>183</v>
      </c>
      <c r="D14" s="35" t="s">
        <v>152</v>
      </c>
      <c r="E14" s="35" t="s">
        <v>184</v>
      </c>
    </row>
    <row r="15">
      <c r="A15" s="35" t="s">
        <v>169</v>
      </c>
      <c r="B15" s="35" t="s">
        <v>185</v>
      </c>
      <c r="C15" s="35" t="s">
        <v>186</v>
      </c>
      <c r="D15" s="35" t="s">
        <v>152</v>
      </c>
      <c r="E15" s="35" t="s">
        <v>187</v>
      </c>
    </row>
    <row r="16">
      <c r="A16" s="35" t="s">
        <v>169</v>
      </c>
      <c r="B16" s="35" t="s">
        <v>188</v>
      </c>
      <c r="C16" s="35" t="s">
        <v>189</v>
      </c>
      <c r="D16" s="35" t="s">
        <v>152</v>
      </c>
      <c r="E16" s="35" t="s">
        <v>190</v>
      </c>
    </row>
    <row r="17">
      <c r="A17" s="35" t="s">
        <v>169</v>
      </c>
      <c r="B17" s="35" t="s">
        <v>191</v>
      </c>
      <c r="C17" s="35" t="s">
        <v>29</v>
      </c>
      <c r="D17" s="35" t="s">
        <v>167</v>
      </c>
      <c r="E17" s="35" t="s">
        <v>192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0.0"/>
    <col customWidth="1" min="3" max="3" width="60.0"/>
    <col customWidth="1" min="4" max="6" width="8.63"/>
  </cols>
  <sheetData>
    <row r="1">
      <c r="A1" s="34" t="s">
        <v>20</v>
      </c>
      <c r="B1" s="34" t="s">
        <v>193</v>
      </c>
      <c r="C1" s="34" t="s">
        <v>194</v>
      </c>
    </row>
    <row r="2">
      <c r="A2" s="35">
        <v>1.0</v>
      </c>
      <c r="B2" s="35" t="s">
        <v>195</v>
      </c>
      <c r="C2" s="35" t="s">
        <v>196</v>
      </c>
    </row>
    <row r="3">
      <c r="A3" s="35">
        <v>2.0</v>
      </c>
      <c r="B3" s="35" t="s">
        <v>197</v>
      </c>
      <c r="C3" s="35" t="s">
        <v>198</v>
      </c>
    </row>
    <row r="4">
      <c r="A4" s="35">
        <v>3.0</v>
      </c>
      <c r="B4" s="35" t="s">
        <v>199</v>
      </c>
      <c r="C4" s="35" t="s">
        <v>200</v>
      </c>
    </row>
    <row r="5">
      <c r="A5" s="35">
        <v>4.0</v>
      </c>
      <c r="B5" s="35" t="s">
        <v>201</v>
      </c>
      <c r="C5" s="35" t="s">
        <v>202</v>
      </c>
    </row>
    <row r="6">
      <c r="A6" s="35">
        <v>5.0</v>
      </c>
      <c r="B6" s="35" t="s">
        <v>203</v>
      </c>
      <c r="C6" s="35" t="s">
        <v>204</v>
      </c>
    </row>
    <row r="7">
      <c r="A7" s="35">
        <v>6.0</v>
      </c>
      <c r="B7" s="35" t="s">
        <v>205</v>
      </c>
      <c r="C7" s="35" t="s">
        <v>206</v>
      </c>
    </row>
    <row r="8">
      <c r="A8" s="35">
        <v>7.0</v>
      </c>
      <c r="B8" s="35" t="s">
        <v>207</v>
      </c>
      <c r="C8" s="35" t="s">
        <v>208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8.0"/>
    <col customWidth="1" min="3" max="3" width="20.0"/>
    <col customWidth="1" min="4" max="4" width="52.0"/>
    <col customWidth="1" min="5" max="5" width="38.0"/>
    <col customWidth="1" min="6" max="8" width="10.0"/>
    <col customWidth="1" min="9" max="10" width="22.0"/>
    <col customWidth="1" min="11" max="12" width="32.0"/>
    <col customWidth="1" min="13" max="13" width="14.0"/>
    <col customWidth="1" min="14" max="14" width="22.0"/>
    <col customWidth="1" min="15" max="15" width="20.0"/>
  </cols>
  <sheetData>
    <row r="1" ht="24.0" customHeight="1">
      <c r="A1" s="36" t="s">
        <v>209</v>
      </c>
    </row>
    <row r="2" ht="24.0" customHeight="1">
      <c r="A2" s="37" t="s">
        <v>210</v>
      </c>
    </row>
    <row r="3" ht="33.75" customHeight="1">
      <c r="A3" s="34" t="s">
        <v>211</v>
      </c>
      <c r="B3" s="34" t="s">
        <v>212</v>
      </c>
      <c r="C3" s="34" t="s">
        <v>213</v>
      </c>
    </row>
    <row r="4" ht="33.75" customHeight="1">
      <c r="A4" s="35" t="s">
        <v>214</v>
      </c>
      <c r="B4" s="35" t="s">
        <v>27</v>
      </c>
      <c r="C4" s="35" t="s">
        <v>215</v>
      </c>
    </row>
    <row r="5" ht="33.75" customHeight="1"/>
    <row r="6" ht="33.75" customHeight="1">
      <c r="A6" s="38" t="s">
        <v>20</v>
      </c>
      <c r="B6" s="38" t="s">
        <v>216</v>
      </c>
      <c r="C6" s="38" t="s">
        <v>217</v>
      </c>
      <c r="D6" s="38" t="s">
        <v>218</v>
      </c>
      <c r="E6" s="38" t="s">
        <v>219</v>
      </c>
      <c r="F6" s="38" t="s">
        <v>220</v>
      </c>
      <c r="G6" s="38" t="s">
        <v>221</v>
      </c>
      <c r="H6" s="38" t="s">
        <v>222</v>
      </c>
      <c r="I6" s="38" t="s">
        <v>223</v>
      </c>
      <c r="J6" s="38" t="s">
        <v>224</v>
      </c>
      <c r="K6" s="38" t="s">
        <v>225</v>
      </c>
      <c r="L6" s="38" t="s">
        <v>226</v>
      </c>
      <c r="M6" s="38" t="s">
        <v>227</v>
      </c>
      <c r="N6" s="38" t="s">
        <v>228</v>
      </c>
      <c r="O6" s="38" t="s">
        <v>194</v>
      </c>
    </row>
    <row r="7" ht="33.75" customHeight="1">
      <c r="A7" s="35">
        <v>1.0</v>
      </c>
      <c r="B7" s="35" t="s">
        <v>229</v>
      </c>
      <c r="C7" s="35" t="s">
        <v>230</v>
      </c>
      <c r="D7" s="35" t="s">
        <v>231</v>
      </c>
      <c r="E7" s="35" t="s">
        <v>232</v>
      </c>
      <c r="F7" s="35">
        <v>5.0</v>
      </c>
      <c r="G7" s="35"/>
      <c r="H7" s="39" t="str">
        <f t="shared" ref="H7:H26" si="1">IF(G7="","",G7/F7)</f>
        <v/>
      </c>
      <c r="I7" s="35" t="s">
        <v>142</v>
      </c>
      <c r="J7" s="35" t="s">
        <v>170</v>
      </c>
      <c r="K7" s="35"/>
      <c r="L7" s="35"/>
      <c r="M7" s="35"/>
      <c r="N7" s="35" t="s">
        <v>27</v>
      </c>
      <c r="O7" s="35"/>
    </row>
    <row r="8" ht="33.75" customHeight="1">
      <c r="A8" s="35">
        <v>2.0</v>
      </c>
      <c r="B8" s="35" t="s">
        <v>229</v>
      </c>
      <c r="C8" s="35" t="s">
        <v>233</v>
      </c>
      <c r="D8" s="35" t="s">
        <v>234</v>
      </c>
      <c r="E8" s="35" t="s">
        <v>235</v>
      </c>
      <c r="F8" s="35">
        <v>5.0</v>
      </c>
      <c r="G8" s="35"/>
      <c r="H8" s="39" t="str">
        <f t="shared" si="1"/>
        <v/>
      </c>
      <c r="I8" s="35" t="s">
        <v>166</v>
      </c>
      <c r="J8" s="35" t="s">
        <v>191</v>
      </c>
      <c r="K8" s="35"/>
      <c r="L8" s="35"/>
      <c r="M8" s="35"/>
      <c r="N8" s="35" t="s">
        <v>27</v>
      </c>
      <c r="O8" s="35"/>
    </row>
    <row r="9" ht="33.75" customHeight="1">
      <c r="A9" s="35">
        <v>3.0</v>
      </c>
      <c r="B9" s="35" t="s">
        <v>229</v>
      </c>
      <c r="C9" s="35" t="s">
        <v>236</v>
      </c>
      <c r="D9" s="35" t="s">
        <v>237</v>
      </c>
      <c r="E9" s="35" t="s">
        <v>238</v>
      </c>
      <c r="F9" s="35">
        <v>5.0</v>
      </c>
      <c r="G9" s="35"/>
      <c r="H9" s="39" t="str">
        <f t="shared" si="1"/>
        <v/>
      </c>
      <c r="I9" s="35" t="s">
        <v>166</v>
      </c>
      <c r="J9" s="35" t="s">
        <v>191</v>
      </c>
      <c r="K9" s="35"/>
      <c r="L9" s="35"/>
      <c r="M9" s="35"/>
      <c r="N9" s="35" t="s">
        <v>27</v>
      </c>
      <c r="O9" s="35"/>
    </row>
    <row r="10" ht="33.75" customHeight="1">
      <c r="A10" s="35">
        <v>4.0</v>
      </c>
      <c r="B10" s="35" t="s">
        <v>239</v>
      </c>
      <c r="C10" s="35" t="s">
        <v>240</v>
      </c>
      <c r="D10" s="35" t="s">
        <v>241</v>
      </c>
      <c r="E10" s="35" t="s">
        <v>242</v>
      </c>
      <c r="F10" s="35">
        <v>5.0</v>
      </c>
      <c r="G10" s="35"/>
      <c r="H10" s="39" t="str">
        <f t="shared" si="1"/>
        <v/>
      </c>
      <c r="I10" s="35" t="s">
        <v>146</v>
      </c>
      <c r="J10" s="35" t="s">
        <v>173</v>
      </c>
      <c r="K10" s="35"/>
      <c r="L10" s="35"/>
      <c r="M10" s="35"/>
      <c r="N10" s="35" t="s">
        <v>27</v>
      </c>
      <c r="O10" s="35"/>
    </row>
    <row r="11" ht="33.75" customHeight="1">
      <c r="A11" s="35">
        <v>5.0</v>
      </c>
      <c r="B11" s="35" t="s">
        <v>239</v>
      </c>
      <c r="C11" s="35" t="s">
        <v>240</v>
      </c>
      <c r="D11" s="35" t="s">
        <v>243</v>
      </c>
      <c r="E11" s="35" t="s">
        <v>244</v>
      </c>
      <c r="F11" s="35">
        <v>5.0</v>
      </c>
      <c r="G11" s="35"/>
      <c r="H11" s="39" t="str">
        <f t="shared" si="1"/>
        <v/>
      </c>
      <c r="I11" s="35" t="s">
        <v>146</v>
      </c>
      <c r="J11" s="35" t="s">
        <v>173</v>
      </c>
      <c r="K11" s="35"/>
      <c r="L11" s="35"/>
      <c r="M11" s="35"/>
      <c r="N11" s="35" t="s">
        <v>27</v>
      </c>
      <c r="O11" s="35"/>
    </row>
    <row r="12" ht="33.75" customHeight="1">
      <c r="A12" s="35">
        <v>6.0</v>
      </c>
      <c r="B12" s="35" t="s">
        <v>245</v>
      </c>
      <c r="C12" s="35" t="s">
        <v>246</v>
      </c>
      <c r="D12" s="35" t="s">
        <v>247</v>
      </c>
      <c r="E12" s="35" t="s">
        <v>248</v>
      </c>
      <c r="F12" s="35">
        <v>5.0</v>
      </c>
      <c r="G12" s="35"/>
      <c r="H12" s="39" t="str">
        <f t="shared" si="1"/>
        <v/>
      </c>
      <c r="I12" s="35" t="s">
        <v>142</v>
      </c>
      <c r="J12" s="35" t="s">
        <v>179</v>
      </c>
      <c r="K12" s="35"/>
      <c r="L12" s="35"/>
      <c r="M12" s="35"/>
      <c r="N12" s="35" t="s">
        <v>27</v>
      </c>
      <c r="O12" s="35"/>
    </row>
    <row r="13" ht="33.75" customHeight="1">
      <c r="A13" s="35">
        <v>7.0</v>
      </c>
      <c r="B13" s="35" t="s">
        <v>245</v>
      </c>
      <c r="C13" s="35" t="s">
        <v>246</v>
      </c>
      <c r="D13" s="35" t="s">
        <v>249</v>
      </c>
      <c r="E13" s="35" t="s">
        <v>250</v>
      </c>
      <c r="F13" s="35">
        <v>5.0</v>
      </c>
      <c r="G13" s="35"/>
      <c r="H13" s="39" t="str">
        <f t="shared" si="1"/>
        <v/>
      </c>
      <c r="I13" s="35" t="s">
        <v>142</v>
      </c>
      <c r="J13" s="35" t="s">
        <v>179</v>
      </c>
      <c r="K13" s="35"/>
      <c r="L13" s="35"/>
      <c r="M13" s="35"/>
      <c r="N13" s="35" t="s">
        <v>27</v>
      </c>
      <c r="O13" s="35"/>
    </row>
    <row r="14" ht="33.75" customHeight="1">
      <c r="A14" s="35">
        <v>8.0</v>
      </c>
      <c r="B14" s="35" t="s">
        <v>251</v>
      </c>
      <c r="C14" s="35" t="s">
        <v>252</v>
      </c>
      <c r="D14" s="35" t="s">
        <v>253</v>
      </c>
      <c r="E14" s="35" t="s">
        <v>254</v>
      </c>
      <c r="F14" s="35">
        <v>5.0</v>
      </c>
      <c r="G14" s="35"/>
      <c r="H14" s="39" t="str">
        <f t="shared" si="1"/>
        <v/>
      </c>
      <c r="I14" s="35" t="s">
        <v>157</v>
      </c>
      <c r="J14" s="35" t="s">
        <v>179</v>
      </c>
      <c r="K14" s="35"/>
      <c r="L14" s="35"/>
      <c r="M14" s="35"/>
      <c r="N14" s="35" t="s">
        <v>27</v>
      </c>
      <c r="O14" s="35"/>
    </row>
    <row r="15" ht="33.75" customHeight="1">
      <c r="A15" s="35">
        <v>9.0</v>
      </c>
      <c r="B15" s="35" t="s">
        <v>251</v>
      </c>
      <c r="C15" s="35" t="s">
        <v>252</v>
      </c>
      <c r="D15" s="35" t="s">
        <v>255</v>
      </c>
      <c r="E15" s="35" t="s">
        <v>256</v>
      </c>
      <c r="F15" s="35">
        <v>5.0</v>
      </c>
      <c r="G15" s="35"/>
      <c r="H15" s="39" t="str">
        <f t="shared" si="1"/>
        <v/>
      </c>
      <c r="I15" s="35" t="s">
        <v>157</v>
      </c>
      <c r="J15" s="35" t="s">
        <v>179</v>
      </c>
      <c r="K15" s="35"/>
      <c r="L15" s="35"/>
      <c r="M15" s="35"/>
      <c r="N15" s="35" t="s">
        <v>27</v>
      </c>
      <c r="O15" s="35"/>
    </row>
    <row r="16" ht="33.75" customHeight="1">
      <c r="A16" s="35">
        <v>10.0</v>
      </c>
      <c r="B16" s="35" t="s">
        <v>257</v>
      </c>
      <c r="C16" s="35" t="s">
        <v>258</v>
      </c>
      <c r="D16" s="35" t="s">
        <v>259</v>
      </c>
      <c r="E16" s="35" t="s">
        <v>260</v>
      </c>
      <c r="F16" s="35">
        <v>5.0</v>
      </c>
      <c r="G16" s="35"/>
      <c r="H16" s="39" t="str">
        <f t="shared" si="1"/>
        <v/>
      </c>
      <c r="I16" s="35" t="s">
        <v>150</v>
      </c>
      <c r="J16" s="35" t="s">
        <v>182</v>
      </c>
      <c r="K16" s="35"/>
      <c r="L16" s="35"/>
      <c r="M16" s="35"/>
      <c r="N16" s="35" t="s">
        <v>27</v>
      </c>
      <c r="O16" s="35"/>
    </row>
    <row r="17" ht="33.75" customHeight="1">
      <c r="A17" s="35">
        <v>11.0</v>
      </c>
      <c r="B17" s="35" t="s">
        <v>257</v>
      </c>
      <c r="C17" s="35" t="s">
        <v>258</v>
      </c>
      <c r="D17" s="35" t="s">
        <v>261</v>
      </c>
      <c r="E17" s="35" t="s">
        <v>262</v>
      </c>
      <c r="F17" s="35">
        <v>5.0</v>
      </c>
      <c r="G17" s="35"/>
      <c r="H17" s="39" t="str">
        <f t="shared" si="1"/>
        <v/>
      </c>
      <c r="I17" s="35" t="s">
        <v>150</v>
      </c>
      <c r="J17" s="35" t="s">
        <v>182</v>
      </c>
      <c r="K17" s="35"/>
      <c r="L17" s="35"/>
      <c r="M17" s="35"/>
      <c r="N17" s="35" t="s">
        <v>27</v>
      </c>
      <c r="O17" s="35"/>
    </row>
    <row r="18" ht="33.75" customHeight="1">
      <c r="A18" s="35">
        <v>12.0</v>
      </c>
      <c r="B18" s="35" t="s">
        <v>263</v>
      </c>
      <c r="C18" s="35" t="s">
        <v>264</v>
      </c>
      <c r="D18" s="35" t="s">
        <v>265</v>
      </c>
      <c r="E18" s="35" t="s">
        <v>266</v>
      </c>
      <c r="F18" s="35">
        <v>5.0</v>
      </c>
      <c r="G18" s="35"/>
      <c r="H18" s="39" t="str">
        <f t="shared" si="1"/>
        <v/>
      </c>
      <c r="I18" s="35" t="s">
        <v>150</v>
      </c>
      <c r="J18" s="35" t="s">
        <v>182</v>
      </c>
      <c r="K18" s="35"/>
      <c r="L18" s="35"/>
      <c r="M18" s="35"/>
      <c r="N18" s="35" t="s">
        <v>27</v>
      </c>
      <c r="O18" s="35"/>
    </row>
    <row r="19" ht="33.75" customHeight="1">
      <c r="A19" s="35">
        <v>13.0</v>
      </c>
      <c r="B19" s="35" t="s">
        <v>263</v>
      </c>
      <c r="C19" s="35" t="s">
        <v>267</v>
      </c>
      <c r="D19" s="35" t="s">
        <v>268</v>
      </c>
      <c r="E19" s="35" t="s">
        <v>269</v>
      </c>
      <c r="F19" s="35">
        <v>5.0</v>
      </c>
      <c r="G19" s="35"/>
      <c r="H19" s="39" t="str">
        <f t="shared" si="1"/>
        <v/>
      </c>
      <c r="I19" s="35" t="s">
        <v>160</v>
      </c>
      <c r="J19" s="35" t="s">
        <v>188</v>
      </c>
      <c r="K19" s="35"/>
      <c r="L19" s="35"/>
      <c r="M19" s="35"/>
      <c r="N19" s="35" t="s">
        <v>27</v>
      </c>
      <c r="O19" s="35"/>
    </row>
    <row r="20" ht="33.75" customHeight="1">
      <c r="A20" s="35">
        <v>14.0</v>
      </c>
      <c r="B20" s="35" t="s">
        <v>270</v>
      </c>
      <c r="C20" s="35" t="s">
        <v>271</v>
      </c>
      <c r="D20" s="35" t="s">
        <v>272</v>
      </c>
      <c r="E20" s="35" t="s">
        <v>273</v>
      </c>
      <c r="F20" s="35">
        <v>5.0</v>
      </c>
      <c r="G20" s="35"/>
      <c r="H20" s="39" t="str">
        <f t="shared" si="1"/>
        <v/>
      </c>
      <c r="I20" s="35" t="s">
        <v>146</v>
      </c>
      <c r="J20" s="35" t="s">
        <v>188</v>
      </c>
      <c r="K20" s="35"/>
      <c r="L20" s="35"/>
      <c r="M20" s="35"/>
      <c r="N20" s="35" t="s">
        <v>27</v>
      </c>
      <c r="O20" s="35"/>
    </row>
    <row r="21" ht="33.75" customHeight="1">
      <c r="A21" s="35">
        <v>15.0</v>
      </c>
      <c r="B21" s="35" t="s">
        <v>270</v>
      </c>
      <c r="C21" s="35" t="s">
        <v>246</v>
      </c>
      <c r="D21" s="35" t="s">
        <v>274</v>
      </c>
      <c r="E21" s="35" t="s">
        <v>275</v>
      </c>
      <c r="F21" s="35">
        <v>5.0</v>
      </c>
      <c r="G21" s="35"/>
      <c r="H21" s="39" t="str">
        <f t="shared" si="1"/>
        <v/>
      </c>
      <c r="I21" s="35" t="s">
        <v>142</v>
      </c>
      <c r="J21" s="35" t="s">
        <v>179</v>
      </c>
      <c r="K21" s="35"/>
      <c r="L21" s="35"/>
      <c r="M21" s="35"/>
      <c r="N21" s="35" t="s">
        <v>27</v>
      </c>
      <c r="O21" s="35"/>
    </row>
    <row r="22" ht="33.75" customHeight="1">
      <c r="A22" s="35">
        <v>16.0</v>
      </c>
      <c r="B22" s="35" t="s">
        <v>276</v>
      </c>
      <c r="C22" s="35" t="s">
        <v>277</v>
      </c>
      <c r="D22" s="35" t="s">
        <v>278</v>
      </c>
      <c r="E22" s="35" t="s">
        <v>279</v>
      </c>
      <c r="F22" s="35">
        <v>5.0</v>
      </c>
      <c r="G22" s="35"/>
      <c r="H22" s="39" t="str">
        <f t="shared" si="1"/>
        <v/>
      </c>
      <c r="I22" s="35" t="s">
        <v>163</v>
      </c>
      <c r="J22" s="35" t="s">
        <v>185</v>
      </c>
      <c r="K22" s="35"/>
      <c r="L22" s="35"/>
      <c r="M22" s="35"/>
      <c r="N22" s="35" t="s">
        <v>27</v>
      </c>
      <c r="O22" s="35"/>
    </row>
    <row r="23" ht="33.75" customHeight="1">
      <c r="A23" s="35">
        <v>17.0</v>
      </c>
      <c r="B23" s="35" t="s">
        <v>276</v>
      </c>
      <c r="C23" s="35" t="s">
        <v>233</v>
      </c>
      <c r="D23" s="35" t="s">
        <v>280</v>
      </c>
      <c r="E23" s="35" t="s">
        <v>281</v>
      </c>
      <c r="F23" s="35">
        <v>5.0</v>
      </c>
      <c r="G23" s="35"/>
      <c r="H23" s="39" t="str">
        <f t="shared" si="1"/>
        <v/>
      </c>
      <c r="I23" s="35" t="s">
        <v>166</v>
      </c>
      <c r="J23" s="35" t="s">
        <v>191</v>
      </c>
      <c r="K23" s="35"/>
      <c r="L23" s="35"/>
      <c r="M23" s="35"/>
      <c r="N23" s="35" t="s">
        <v>27</v>
      </c>
      <c r="O23" s="35"/>
    </row>
    <row r="24" ht="33.75" customHeight="1">
      <c r="A24" s="35">
        <v>18.0</v>
      </c>
      <c r="B24" s="35" t="s">
        <v>276</v>
      </c>
      <c r="C24" s="35" t="s">
        <v>277</v>
      </c>
      <c r="D24" s="35" t="s">
        <v>282</v>
      </c>
      <c r="E24" s="35" t="s">
        <v>283</v>
      </c>
      <c r="F24" s="35">
        <v>5.0</v>
      </c>
      <c r="G24" s="35"/>
      <c r="H24" s="39" t="str">
        <f t="shared" si="1"/>
        <v/>
      </c>
      <c r="I24" s="35" t="s">
        <v>163</v>
      </c>
      <c r="J24" s="35" t="s">
        <v>185</v>
      </c>
      <c r="K24" s="35"/>
      <c r="L24" s="35"/>
      <c r="M24" s="35"/>
      <c r="N24" s="35" t="s">
        <v>27</v>
      </c>
      <c r="O24" s="35"/>
    </row>
    <row r="25" ht="33.75" customHeight="1">
      <c r="A25" s="35">
        <v>19.0</v>
      </c>
      <c r="B25" s="35" t="s">
        <v>276</v>
      </c>
      <c r="C25" s="35" t="s">
        <v>284</v>
      </c>
      <c r="D25" s="35" t="s">
        <v>285</v>
      </c>
      <c r="E25" s="35" t="s">
        <v>286</v>
      </c>
      <c r="F25" s="35">
        <v>5.0</v>
      </c>
      <c r="G25" s="35"/>
      <c r="H25" s="39" t="str">
        <f t="shared" si="1"/>
        <v/>
      </c>
      <c r="I25" s="35" t="s">
        <v>142</v>
      </c>
      <c r="J25" s="35" t="s">
        <v>170</v>
      </c>
      <c r="K25" s="35"/>
      <c r="L25" s="35"/>
      <c r="M25" s="35"/>
      <c r="N25" s="35" t="s">
        <v>27</v>
      </c>
      <c r="O25" s="35"/>
    </row>
    <row r="26" ht="33.75" customHeight="1">
      <c r="A26" s="35">
        <v>20.0</v>
      </c>
      <c r="B26" s="35" t="s">
        <v>276</v>
      </c>
      <c r="C26" s="35" t="s">
        <v>277</v>
      </c>
      <c r="D26" s="35" t="s">
        <v>287</v>
      </c>
      <c r="E26" s="35" t="s">
        <v>288</v>
      </c>
      <c r="F26" s="35">
        <v>5.0</v>
      </c>
      <c r="G26" s="35"/>
      <c r="H26" s="39" t="str">
        <f t="shared" si="1"/>
        <v/>
      </c>
      <c r="I26" s="35" t="s">
        <v>163</v>
      </c>
      <c r="J26" s="35" t="s">
        <v>185</v>
      </c>
      <c r="K26" s="35"/>
      <c r="L26" s="35"/>
      <c r="M26" s="35"/>
      <c r="N26" s="35" t="s">
        <v>27</v>
      </c>
      <c r="O26" s="35"/>
    </row>
    <row r="27" ht="33.75" customHeight="1"/>
    <row r="28" ht="33.75" customHeight="1">
      <c r="A28" s="40" t="s">
        <v>289</v>
      </c>
      <c r="G28" s="40">
        <f>SUM(G7:G26)</f>
        <v>0</v>
      </c>
      <c r="H28" s="41">
        <f>G28/100</f>
        <v>0</v>
      </c>
      <c r="I28" s="40" t="str">
        <f>IF(G28&gt;=90,"Tốt",IF(G28&gt;=80,"Khá",IF(G28&gt;=65,"Đạt","Chưa đạt")))</f>
        <v>Chưa đạt</v>
      </c>
    </row>
    <row r="29" ht="33.75" customHeight="1"/>
    <row r="30" ht="33.75" customHeight="1">
      <c r="A30" s="42" t="s">
        <v>290</v>
      </c>
    </row>
    <row r="31" ht="33.75" customHeight="1"/>
    <row r="32" ht="33.75" customHeight="1">
      <c r="A32" s="43" t="s">
        <v>291</v>
      </c>
      <c r="D32" s="43"/>
      <c r="E32" s="43"/>
      <c r="F32" s="43"/>
      <c r="G32" s="43" t="s">
        <v>292</v>
      </c>
      <c r="J32" s="43"/>
      <c r="K32" s="43"/>
      <c r="L32" s="43"/>
      <c r="M32" s="43" t="s">
        <v>293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O1"/>
    <mergeCell ref="A2:O2"/>
    <mergeCell ref="A28:F28"/>
    <mergeCell ref="I28:J28"/>
    <mergeCell ref="A30:O30"/>
    <mergeCell ref="A32:C32"/>
    <mergeCell ref="G32:I32"/>
    <mergeCell ref="M32:O32"/>
  </mergeCells>
  <dataValidations>
    <dataValidation type="decimal" allowBlank="1" sqref="G7:G26">
      <formula1>0.0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8.0"/>
    <col customWidth="1" min="3" max="3" width="20.0"/>
    <col customWidth="1" min="4" max="4" width="52.0"/>
    <col customWidth="1" min="5" max="5" width="38.0"/>
    <col customWidth="1" min="6" max="8" width="10.0"/>
    <col customWidth="1" min="9" max="10" width="22.0"/>
    <col customWidth="1" min="11" max="12" width="32.0"/>
    <col customWidth="1" min="13" max="13" width="14.0"/>
    <col customWidth="1" min="14" max="14" width="22.0"/>
    <col customWidth="1" min="15" max="15" width="20.0"/>
  </cols>
  <sheetData>
    <row r="1" ht="24.0" customHeight="1">
      <c r="A1" s="36" t="s">
        <v>294</v>
      </c>
    </row>
    <row r="2" ht="24.0" customHeight="1">
      <c r="A2" s="37" t="s">
        <v>295</v>
      </c>
    </row>
    <row r="3" ht="33.75" customHeight="1">
      <c r="A3" s="34" t="s">
        <v>211</v>
      </c>
      <c r="B3" s="34" t="s">
        <v>212</v>
      </c>
      <c r="C3" s="34" t="s">
        <v>213</v>
      </c>
    </row>
    <row r="4" ht="33.75" customHeight="1">
      <c r="A4" s="35" t="s">
        <v>214</v>
      </c>
      <c r="B4" s="35" t="s">
        <v>29</v>
      </c>
      <c r="C4" s="35" t="s">
        <v>215</v>
      </c>
    </row>
    <row r="5" ht="33.75" customHeight="1"/>
    <row r="6" ht="33.75" customHeight="1">
      <c r="A6" s="38" t="s">
        <v>20</v>
      </c>
      <c r="B6" s="38" t="s">
        <v>216</v>
      </c>
      <c r="C6" s="38" t="s">
        <v>217</v>
      </c>
      <c r="D6" s="38" t="s">
        <v>218</v>
      </c>
      <c r="E6" s="38" t="s">
        <v>219</v>
      </c>
      <c r="F6" s="38" t="s">
        <v>220</v>
      </c>
      <c r="G6" s="38" t="s">
        <v>221</v>
      </c>
      <c r="H6" s="38" t="s">
        <v>222</v>
      </c>
      <c r="I6" s="38" t="s">
        <v>223</v>
      </c>
      <c r="J6" s="38" t="s">
        <v>224</v>
      </c>
      <c r="K6" s="38" t="s">
        <v>225</v>
      </c>
      <c r="L6" s="38" t="s">
        <v>226</v>
      </c>
      <c r="M6" s="38" t="s">
        <v>227</v>
      </c>
      <c r="N6" s="38" t="s">
        <v>228</v>
      </c>
      <c r="O6" s="38" t="s">
        <v>194</v>
      </c>
    </row>
    <row r="7" ht="33.75" customHeight="1">
      <c r="A7" s="35">
        <v>1.0</v>
      </c>
      <c r="B7" s="35" t="s">
        <v>229</v>
      </c>
      <c r="C7" s="35" t="s">
        <v>230</v>
      </c>
      <c r="D7" s="35" t="s">
        <v>231</v>
      </c>
      <c r="E7" s="35" t="s">
        <v>232</v>
      </c>
      <c r="F7" s="35">
        <v>5.0</v>
      </c>
      <c r="G7" s="35"/>
      <c r="H7" s="39" t="str">
        <f t="shared" ref="H7:H26" si="1">IF(G7="","",G7/F7)</f>
        <v/>
      </c>
      <c r="I7" s="35" t="s">
        <v>142</v>
      </c>
      <c r="J7" s="35" t="s">
        <v>170</v>
      </c>
      <c r="K7" s="35"/>
      <c r="L7" s="35"/>
      <c r="M7" s="35"/>
      <c r="N7" s="35" t="s">
        <v>29</v>
      </c>
      <c r="O7" s="35"/>
    </row>
    <row r="8" ht="33.75" customHeight="1">
      <c r="A8" s="35">
        <v>2.0</v>
      </c>
      <c r="B8" s="35" t="s">
        <v>229</v>
      </c>
      <c r="C8" s="35" t="s">
        <v>233</v>
      </c>
      <c r="D8" s="35" t="s">
        <v>234</v>
      </c>
      <c r="E8" s="35" t="s">
        <v>235</v>
      </c>
      <c r="F8" s="35">
        <v>5.0</v>
      </c>
      <c r="G8" s="35"/>
      <c r="H8" s="39" t="str">
        <f t="shared" si="1"/>
        <v/>
      </c>
      <c r="I8" s="35" t="s">
        <v>166</v>
      </c>
      <c r="J8" s="35" t="s">
        <v>191</v>
      </c>
      <c r="K8" s="35"/>
      <c r="L8" s="35"/>
      <c r="M8" s="35"/>
      <c r="N8" s="35" t="s">
        <v>29</v>
      </c>
      <c r="O8" s="35"/>
    </row>
    <row r="9" ht="33.75" customHeight="1">
      <c r="A9" s="35">
        <v>3.0</v>
      </c>
      <c r="B9" s="35" t="s">
        <v>229</v>
      </c>
      <c r="C9" s="35" t="s">
        <v>236</v>
      </c>
      <c r="D9" s="35" t="s">
        <v>237</v>
      </c>
      <c r="E9" s="35" t="s">
        <v>238</v>
      </c>
      <c r="F9" s="35">
        <v>5.0</v>
      </c>
      <c r="G9" s="35"/>
      <c r="H9" s="39" t="str">
        <f t="shared" si="1"/>
        <v/>
      </c>
      <c r="I9" s="35" t="s">
        <v>166</v>
      </c>
      <c r="J9" s="35" t="s">
        <v>191</v>
      </c>
      <c r="K9" s="35"/>
      <c r="L9" s="35"/>
      <c r="M9" s="35"/>
      <c r="N9" s="35" t="s">
        <v>29</v>
      </c>
      <c r="O9" s="35"/>
    </row>
    <row r="10" ht="33.75" customHeight="1">
      <c r="A10" s="35">
        <v>4.0</v>
      </c>
      <c r="B10" s="35" t="s">
        <v>239</v>
      </c>
      <c r="C10" s="35" t="s">
        <v>240</v>
      </c>
      <c r="D10" s="35" t="s">
        <v>241</v>
      </c>
      <c r="E10" s="35" t="s">
        <v>242</v>
      </c>
      <c r="F10" s="35">
        <v>5.0</v>
      </c>
      <c r="G10" s="35"/>
      <c r="H10" s="39" t="str">
        <f t="shared" si="1"/>
        <v/>
      </c>
      <c r="I10" s="35" t="s">
        <v>146</v>
      </c>
      <c r="J10" s="35" t="s">
        <v>173</v>
      </c>
      <c r="K10" s="35"/>
      <c r="L10" s="35"/>
      <c r="M10" s="35"/>
      <c r="N10" s="35" t="s">
        <v>29</v>
      </c>
      <c r="O10" s="35"/>
    </row>
    <row r="11" ht="33.75" customHeight="1">
      <c r="A11" s="35">
        <v>5.0</v>
      </c>
      <c r="B11" s="35" t="s">
        <v>239</v>
      </c>
      <c r="C11" s="35" t="s">
        <v>240</v>
      </c>
      <c r="D11" s="35" t="s">
        <v>243</v>
      </c>
      <c r="E11" s="35" t="s">
        <v>244</v>
      </c>
      <c r="F11" s="35">
        <v>5.0</v>
      </c>
      <c r="G11" s="35"/>
      <c r="H11" s="39" t="str">
        <f t="shared" si="1"/>
        <v/>
      </c>
      <c r="I11" s="35" t="s">
        <v>146</v>
      </c>
      <c r="J11" s="35" t="s">
        <v>173</v>
      </c>
      <c r="K11" s="35"/>
      <c r="L11" s="35"/>
      <c r="M11" s="35"/>
      <c r="N11" s="35" t="s">
        <v>29</v>
      </c>
      <c r="O11" s="35"/>
    </row>
    <row r="12" ht="33.75" customHeight="1">
      <c r="A12" s="35">
        <v>6.0</v>
      </c>
      <c r="B12" s="35" t="s">
        <v>245</v>
      </c>
      <c r="C12" s="35" t="s">
        <v>246</v>
      </c>
      <c r="D12" s="35" t="s">
        <v>247</v>
      </c>
      <c r="E12" s="35" t="s">
        <v>248</v>
      </c>
      <c r="F12" s="35">
        <v>5.0</v>
      </c>
      <c r="G12" s="35"/>
      <c r="H12" s="39" t="str">
        <f t="shared" si="1"/>
        <v/>
      </c>
      <c r="I12" s="35" t="s">
        <v>142</v>
      </c>
      <c r="J12" s="35" t="s">
        <v>179</v>
      </c>
      <c r="K12" s="35"/>
      <c r="L12" s="35"/>
      <c r="M12" s="35"/>
      <c r="N12" s="35" t="s">
        <v>29</v>
      </c>
      <c r="O12" s="35"/>
    </row>
    <row r="13" ht="33.75" customHeight="1">
      <c r="A13" s="35">
        <v>7.0</v>
      </c>
      <c r="B13" s="35" t="s">
        <v>245</v>
      </c>
      <c r="C13" s="35" t="s">
        <v>246</v>
      </c>
      <c r="D13" s="35" t="s">
        <v>249</v>
      </c>
      <c r="E13" s="35" t="s">
        <v>250</v>
      </c>
      <c r="F13" s="35">
        <v>5.0</v>
      </c>
      <c r="G13" s="35"/>
      <c r="H13" s="39" t="str">
        <f t="shared" si="1"/>
        <v/>
      </c>
      <c r="I13" s="35" t="s">
        <v>142</v>
      </c>
      <c r="J13" s="35" t="s">
        <v>179</v>
      </c>
      <c r="K13" s="35"/>
      <c r="L13" s="35"/>
      <c r="M13" s="35"/>
      <c r="N13" s="35" t="s">
        <v>29</v>
      </c>
      <c r="O13" s="35"/>
    </row>
    <row r="14" ht="33.75" customHeight="1">
      <c r="A14" s="35">
        <v>8.0</v>
      </c>
      <c r="B14" s="35" t="s">
        <v>251</v>
      </c>
      <c r="C14" s="35" t="s">
        <v>252</v>
      </c>
      <c r="D14" s="35" t="s">
        <v>253</v>
      </c>
      <c r="E14" s="35" t="s">
        <v>254</v>
      </c>
      <c r="F14" s="35">
        <v>5.0</v>
      </c>
      <c r="G14" s="35"/>
      <c r="H14" s="39" t="str">
        <f t="shared" si="1"/>
        <v/>
      </c>
      <c r="I14" s="35" t="s">
        <v>157</v>
      </c>
      <c r="J14" s="35" t="s">
        <v>179</v>
      </c>
      <c r="K14" s="35"/>
      <c r="L14" s="35"/>
      <c r="M14" s="35"/>
      <c r="N14" s="35" t="s">
        <v>29</v>
      </c>
      <c r="O14" s="35"/>
    </row>
    <row r="15" ht="33.75" customHeight="1">
      <c r="A15" s="35">
        <v>9.0</v>
      </c>
      <c r="B15" s="35" t="s">
        <v>251</v>
      </c>
      <c r="C15" s="35" t="s">
        <v>252</v>
      </c>
      <c r="D15" s="35" t="s">
        <v>255</v>
      </c>
      <c r="E15" s="35" t="s">
        <v>256</v>
      </c>
      <c r="F15" s="35">
        <v>5.0</v>
      </c>
      <c r="G15" s="35"/>
      <c r="H15" s="39" t="str">
        <f t="shared" si="1"/>
        <v/>
      </c>
      <c r="I15" s="35" t="s">
        <v>157</v>
      </c>
      <c r="J15" s="35" t="s">
        <v>179</v>
      </c>
      <c r="K15" s="35"/>
      <c r="L15" s="35"/>
      <c r="M15" s="35"/>
      <c r="N15" s="35" t="s">
        <v>29</v>
      </c>
      <c r="O15" s="35"/>
    </row>
    <row r="16" ht="33.75" customHeight="1">
      <c r="A16" s="35">
        <v>10.0</v>
      </c>
      <c r="B16" s="35" t="s">
        <v>257</v>
      </c>
      <c r="C16" s="35" t="s">
        <v>258</v>
      </c>
      <c r="D16" s="35" t="s">
        <v>259</v>
      </c>
      <c r="E16" s="35" t="s">
        <v>260</v>
      </c>
      <c r="F16" s="35">
        <v>5.0</v>
      </c>
      <c r="G16" s="35"/>
      <c r="H16" s="39" t="str">
        <f t="shared" si="1"/>
        <v/>
      </c>
      <c r="I16" s="35" t="s">
        <v>150</v>
      </c>
      <c r="J16" s="35" t="s">
        <v>182</v>
      </c>
      <c r="K16" s="35"/>
      <c r="L16" s="35"/>
      <c r="M16" s="35"/>
      <c r="N16" s="35" t="s">
        <v>29</v>
      </c>
      <c r="O16" s="35"/>
    </row>
    <row r="17" ht="33.75" customHeight="1">
      <c r="A17" s="35">
        <v>11.0</v>
      </c>
      <c r="B17" s="35" t="s">
        <v>257</v>
      </c>
      <c r="C17" s="35" t="s">
        <v>258</v>
      </c>
      <c r="D17" s="35" t="s">
        <v>261</v>
      </c>
      <c r="E17" s="35" t="s">
        <v>262</v>
      </c>
      <c r="F17" s="35">
        <v>5.0</v>
      </c>
      <c r="G17" s="35"/>
      <c r="H17" s="39" t="str">
        <f t="shared" si="1"/>
        <v/>
      </c>
      <c r="I17" s="35" t="s">
        <v>150</v>
      </c>
      <c r="J17" s="35" t="s">
        <v>182</v>
      </c>
      <c r="K17" s="35"/>
      <c r="L17" s="35"/>
      <c r="M17" s="35"/>
      <c r="N17" s="35" t="s">
        <v>29</v>
      </c>
      <c r="O17" s="35"/>
    </row>
    <row r="18" ht="33.75" customHeight="1">
      <c r="A18" s="35">
        <v>12.0</v>
      </c>
      <c r="B18" s="35" t="s">
        <v>263</v>
      </c>
      <c r="C18" s="35" t="s">
        <v>264</v>
      </c>
      <c r="D18" s="35" t="s">
        <v>265</v>
      </c>
      <c r="E18" s="35" t="s">
        <v>266</v>
      </c>
      <c r="F18" s="35">
        <v>5.0</v>
      </c>
      <c r="G18" s="35"/>
      <c r="H18" s="39" t="str">
        <f t="shared" si="1"/>
        <v/>
      </c>
      <c r="I18" s="35" t="s">
        <v>150</v>
      </c>
      <c r="J18" s="35" t="s">
        <v>182</v>
      </c>
      <c r="K18" s="35"/>
      <c r="L18" s="35"/>
      <c r="M18" s="35"/>
      <c r="N18" s="35" t="s">
        <v>29</v>
      </c>
      <c r="O18" s="35"/>
    </row>
    <row r="19" ht="33.75" customHeight="1">
      <c r="A19" s="35">
        <v>13.0</v>
      </c>
      <c r="B19" s="35" t="s">
        <v>263</v>
      </c>
      <c r="C19" s="35" t="s">
        <v>267</v>
      </c>
      <c r="D19" s="35" t="s">
        <v>268</v>
      </c>
      <c r="E19" s="35" t="s">
        <v>269</v>
      </c>
      <c r="F19" s="35">
        <v>5.0</v>
      </c>
      <c r="G19" s="35"/>
      <c r="H19" s="39" t="str">
        <f t="shared" si="1"/>
        <v/>
      </c>
      <c r="I19" s="35" t="s">
        <v>160</v>
      </c>
      <c r="J19" s="35" t="s">
        <v>188</v>
      </c>
      <c r="K19" s="35"/>
      <c r="L19" s="35"/>
      <c r="M19" s="35"/>
      <c r="N19" s="35" t="s">
        <v>29</v>
      </c>
      <c r="O19" s="35"/>
    </row>
    <row r="20" ht="33.75" customHeight="1">
      <c r="A20" s="35">
        <v>14.0</v>
      </c>
      <c r="B20" s="35" t="s">
        <v>270</v>
      </c>
      <c r="C20" s="35" t="s">
        <v>271</v>
      </c>
      <c r="D20" s="35" t="s">
        <v>272</v>
      </c>
      <c r="E20" s="35" t="s">
        <v>273</v>
      </c>
      <c r="F20" s="35">
        <v>5.0</v>
      </c>
      <c r="G20" s="35"/>
      <c r="H20" s="39" t="str">
        <f t="shared" si="1"/>
        <v/>
      </c>
      <c r="I20" s="35" t="s">
        <v>146</v>
      </c>
      <c r="J20" s="35" t="s">
        <v>188</v>
      </c>
      <c r="K20" s="35"/>
      <c r="L20" s="35"/>
      <c r="M20" s="35"/>
      <c r="N20" s="35" t="s">
        <v>29</v>
      </c>
      <c r="O20" s="35"/>
    </row>
    <row r="21" ht="33.75" customHeight="1">
      <c r="A21" s="35">
        <v>15.0</v>
      </c>
      <c r="B21" s="35" t="s">
        <v>270</v>
      </c>
      <c r="C21" s="35" t="s">
        <v>246</v>
      </c>
      <c r="D21" s="35" t="s">
        <v>274</v>
      </c>
      <c r="E21" s="35" t="s">
        <v>275</v>
      </c>
      <c r="F21" s="35">
        <v>5.0</v>
      </c>
      <c r="G21" s="35"/>
      <c r="H21" s="39" t="str">
        <f t="shared" si="1"/>
        <v/>
      </c>
      <c r="I21" s="35" t="s">
        <v>142</v>
      </c>
      <c r="J21" s="35" t="s">
        <v>179</v>
      </c>
      <c r="K21" s="35"/>
      <c r="L21" s="35"/>
      <c r="M21" s="35"/>
      <c r="N21" s="35" t="s">
        <v>29</v>
      </c>
      <c r="O21" s="35"/>
    </row>
    <row r="22" ht="33.75" customHeight="1">
      <c r="A22" s="35">
        <v>16.0</v>
      </c>
      <c r="B22" s="35" t="s">
        <v>276</v>
      </c>
      <c r="C22" s="35" t="s">
        <v>246</v>
      </c>
      <c r="D22" s="35" t="s">
        <v>296</v>
      </c>
      <c r="E22" s="35" t="s">
        <v>297</v>
      </c>
      <c r="F22" s="35">
        <v>5.0</v>
      </c>
      <c r="G22" s="35"/>
      <c r="H22" s="39" t="str">
        <f t="shared" si="1"/>
        <v/>
      </c>
      <c r="I22" s="35" t="s">
        <v>142</v>
      </c>
      <c r="J22" s="35" t="s">
        <v>179</v>
      </c>
      <c r="K22" s="35"/>
      <c r="L22" s="35"/>
      <c r="M22" s="35"/>
      <c r="N22" s="35" t="s">
        <v>29</v>
      </c>
      <c r="O22" s="35"/>
    </row>
    <row r="23" ht="33.75" customHeight="1">
      <c r="A23" s="35">
        <v>17.0</v>
      </c>
      <c r="B23" s="35" t="s">
        <v>276</v>
      </c>
      <c r="C23" s="35" t="s">
        <v>246</v>
      </c>
      <c r="D23" s="35" t="s">
        <v>298</v>
      </c>
      <c r="E23" s="35" t="s">
        <v>299</v>
      </c>
      <c r="F23" s="35">
        <v>5.0</v>
      </c>
      <c r="G23" s="35"/>
      <c r="H23" s="39" t="str">
        <f t="shared" si="1"/>
        <v/>
      </c>
      <c r="I23" s="35" t="s">
        <v>142</v>
      </c>
      <c r="J23" s="35" t="s">
        <v>179</v>
      </c>
      <c r="K23" s="35"/>
      <c r="L23" s="35"/>
      <c r="M23" s="35"/>
      <c r="N23" s="35" t="s">
        <v>29</v>
      </c>
      <c r="O23" s="35"/>
    </row>
    <row r="24" ht="33.75" customHeight="1">
      <c r="A24" s="35">
        <v>18.0</v>
      </c>
      <c r="B24" s="35" t="s">
        <v>276</v>
      </c>
      <c r="C24" s="35" t="s">
        <v>246</v>
      </c>
      <c r="D24" s="35" t="s">
        <v>300</v>
      </c>
      <c r="E24" s="35" t="s">
        <v>301</v>
      </c>
      <c r="F24" s="35">
        <v>5.0</v>
      </c>
      <c r="G24" s="35"/>
      <c r="H24" s="39" t="str">
        <f t="shared" si="1"/>
        <v/>
      </c>
      <c r="I24" s="35" t="s">
        <v>142</v>
      </c>
      <c r="J24" s="35" t="s">
        <v>179</v>
      </c>
      <c r="K24" s="35"/>
      <c r="L24" s="35"/>
      <c r="M24" s="35"/>
      <c r="N24" s="35" t="s">
        <v>29</v>
      </c>
      <c r="O24" s="35"/>
    </row>
    <row r="25" ht="33.75" customHeight="1">
      <c r="A25" s="35">
        <v>19.0</v>
      </c>
      <c r="B25" s="35" t="s">
        <v>276</v>
      </c>
      <c r="C25" s="35" t="s">
        <v>246</v>
      </c>
      <c r="D25" s="35" t="s">
        <v>302</v>
      </c>
      <c r="E25" s="35" t="s">
        <v>303</v>
      </c>
      <c r="F25" s="35">
        <v>5.0</v>
      </c>
      <c r="G25" s="35"/>
      <c r="H25" s="39" t="str">
        <f t="shared" si="1"/>
        <v/>
      </c>
      <c r="I25" s="35" t="s">
        <v>142</v>
      </c>
      <c r="J25" s="35" t="s">
        <v>179</v>
      </c>
      <c r="K25" s="35"/>
      <c r="L25" s="35"/>
      <c r="M25" s="35"/>
      <c r="N25" s="35" t="s">
        <v>29</v>
      </c>
      <c r="O25" s="35"/>
    </row>
    <row r="26" ht="33.75" customHeight="1">
      <c r="A26" s="35">
        <v>20.0</v>
      </c>
      <c r="B26" s="35" t="s">
        <v>276</v>
      </c>
      <c r="C26" s="35" t="s">
        <v>252</v>
      </c>
      <c r="D26" s="35" t="s">
        <v>304</v>
      </c>
      <c r="E26" s="35" t="s">
        <v>305</v>
      </c>
      <c r="F26" s="35">
        <v>5.0</v>
      </c>
      <c r="G26" s="35"/>
      <c r="H26" s="39" t="str">
        <f t="shared" si="1"/>
        <v/>
      </c>
      <c r="I26" s="35" t="s">
        <v>157</v>
      </c>
      <c r="J26" s="35" t="s">
        <v>179</v>
      </c>
      <c r="K26" s="35"/>
      <c r="L26" s="35"/>
      <c r="M26" s="35"/>
      <c r="N26" s="35" t="s">
        <v>29</v>
      </c>
      <c r="O26" s="35"/>
    </row>
    <row r="27" ht="33.75" customHeight="1"/>
    <row r="28" ht="33.75" customHeight="1">
      <c r="A28" s="40" t="s">
        <v>289</v>
      </c>
      <c r="G28" s="40">
        <f>SUM(G7:G26)</f>
        <v>0</v>
      </c>
      <c r="H28" s="41">
        <f>G28/100</f>
        <v>0</v>
      </c>
      <c r="I28" s="40" t="str">
        <f>IF(G28&gt;=90,"Tốt",IF(G28&gt;=80,"Khá",IF(G28&gt;=65,"Đạt","Chưa đạt")))</f>
        <v>Chưa đạt</v>
      </c>
    </row>
    <row r="29" ht="33.75" customHeight="1"/>
    <row r="30" ht="33.75" customHeight="1">
      <c r="A30" s="42" t="s">
        <v>290</v>
      </c>
    </row>
    <row r="31" ht="33.75" customHeight="1"/>
    <row r="32" ht="33.75" customHeight="1">
      <c r="A32" s="43" t="s">
        <v>291</v>
      </c>
      <c r="D32" s="43"/>
      <c r="E32" s="43"/>
      <c r="F32" s="43"/>
      <c r="G32" s="43" t="s">
        <v>292</v>
      </c>
      <c r="J32" s="43"/>
      <c r="K32" s="43"/>
      <c r="L32" s="43"/>
      <c r="M32" s="43" t="s">
        <v>293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O1"/>
    <mergeCell ref="A2:O2"/>
    <mergeCell ref="A28:F28"/>
    <mergeCell ref="I28:J28"/>
    <mergeCell ref="A30:O30"/>
    <mergeCell ref="A32:C32"/>
    <mergeCell ref="G32:I32"/>
    <mergeCell ref="M32:O32"/>
  </mergeCells>
  <dataValidations>
    <dataValidation type="decimal" allowBlank="1" sqref="G7:G26">
      <formula1>0.0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8.0"/>
    <col customWidth="1" min="3" max="3" width="20.0"/>
    <col customWidth="1" min="4" max="4" width="52.0"/>
    <col customWidth="1" min="5" max="5" width="38.0"/>
    <col customWidth="1" min="6" max="8" width="10.0"/>
    <col customWidth="1" min="9" max="10" width="22.0"/>
    <col customWidth="1" min="11" max="12" width="32.0"/>
    <col customWidth="1" min="13" max="13" width="14.0"/>
    <col customWidth="1" min="14" max="14" width="22.0"/>
    <col customWidth="1" min="15" max="15" width="20.0"/>
  </cols>
  <sheetData>
    <row r="1" ht="24.0" customHeight="1">
      <c r="A1" s="36" t="s">
        <v>306</v>
      </c>
    </row>
    <row r="2" ht="24.0" customHeight="1">
      <c r="A2" s="37" t="s">
        <v>307</v>
      </c>
    </row>
    <row r="3" ht="33.75" customHeight="1">
      <c r="A3" s="34" t="s">
        <v>211</v>
      </c>
      <c r="B3" s="34" t="s">
        <v>212</v>
      </c>
      <c r="C3" s="34" t="s">
        <v>213</v>
      </c>
    </row>
    <row r="4" ht="33.75" customHeight="1">
      <c r="A4" s="35" t="s">
        <v>214</v>
      </c>
      <c r="B4" s="35" t="s">
        <v>33</v>
      </c>
      <c r="C4" s="35" t="s">
        <v>215</v>
      </c>
    </row>
    <row r="5" ht="33.75" customHeight="1"/>
    <row r="6" ht="33.75" customHeight="1">
      <c r="A6" s="38" t="s">
        <v>20</v>
      </c>
      <c r="B6" s="38" t="s">
        <v>216</v>
      </c>
      <c r="C6" s="38" t="s">
        <v>217</v>
      </c>
      <c r="D6" s="38" t="s">
        <v>218</v>
      </c>
      <c r="E6" s="38" t="s">
        <v>219</v>
      </c>
      <c r="F6" s="38" t="s">
        <v>220</v>
      </c>
      <c r="G6" s="38" t="s">
        <v>221</v>
      </c>
      <c r="H6" s="38" t="s">
        <v>222</v>
      </c>
      <c r="I6" s="38" t="s">
        <v>223</v>
      </c>
      <c r="J6" s="38" t="s">
        <v>224</v>
      </c>
      <c r="K6" s="38" t="s">
        <v>225</v>
      </c>
      <c r="L6" s="38" t="s">
        <v>226</v>
      </c>
      <c r="M6" s="38" t="s">
        <v>227</v>
      </c>
      <c r="N6" s="38" t="s">
        <v>228</v>
      </c>
      <c r="O6" s="38" t="s">
        <v>194</v>
      </c>
    </row>
    <row r="7" ht="33.75" customHeight="1">
      <c r="A7" s="35">
        <v>1.0</v>
      </c>
      <c r="B7" s="35" t="s">
        <v>229</v>
      </c>
      <c r="C7" s="35" t="s">
        <v>230</v>
      </c>
      <c r="D7" s="35" t="s">
        <v>231</v>
      </c>
      <c r="E7" s="35" t="s">
        <v>232</v>
      </c>
      <c r="F7" s="35">
        <v>5.0</v>
      </c>
      <c r="G7" s="35"/>
      <c r="H7" s="39" t="str">
        <f t="shared" ref="H7:H26" si="1">IF(G7="","",G7/F7)</f>
        <v/>
      </c>
      <c r="I7" s="35" t="s">
        <v>142</v>
      </c>
      <c r="J7" s="35" t="s">
        <v>170</v>
      </c>
      <c r="K7" s="35"/>
      <c r="L7" s="35"/>
      <c r="M7" s="35"/>
      <c r="N7" s="35" t="s">
        <v>33</v>
      </c>
      <c r="O7" s="35"/>
    </row>
    <row r="8" ht="33.75" customHeight="1">
      <c r="A8" s="35">
        <v>2.0</v>
      </c>
      <c r="B8" s="35" t="s">
        <v>229</v>
      </c>
      <c r="C8" s="35" t="s">
        <v>233</v>
      </c>
      <c r="D8" s="35" t="s">
        <v>234</v>
      </c>
      <c r="E8" s="35" t="s">
        <v>235</v>
      </c>
      <c r="F8" s="35">
        <v>5.0</v>
      </c>
      <c r="G8" s="35"/>
      <c r="H8" s="39" t="str">
        <f t="shared" si="1"/>
        <v/>
      </c>
      <c r="I8" s="35" t="s">
        <v>166</v>
      </c>
      <c r="J8" s="35" t="s">
        <v>191</v>
      </c>
      <c r="K8" s="35"/>
      <c r="L8" s="35"/>
      <c r="M8" s="35"/>
      <c r="N8" s="35" t="s">
        <v>33</v>
      </c>
      <c r="O8" s="35"/>
    </row>
    <row r="9" ht="33.75" customHeight="1">
      <c r="A9" s="35">
        <v>3.0</v>
      </c>
      <c r="B9" s="35" t="s">
        <v>229</v>
      </c>
      <c r="C9" s="35" t="s">
        <v>236</v>
      </c>
      <c r="D9" s="35" t="s">
        <v>237</v>
      </c>
      <c r="E9" s="35" t="s">
        <v>238</v>
      </c>
      <c r="F9" s="35">
        <v>5.0</v>
      </c>
      <c r="G9" s="35"/>
      <c r="H9" s="39" t="str">
        <f t="shared" si="1"/>
        <v/>
      </c>
      <c r="I9" s="35" t="s">
        <v>166</v>
      </c>
      <c r="J9" s="35" t="s">
        <v>191</v>
      </c>
      <c r="K9" s="35"/>
      <c r="L9" s="35"/>
      <c r="M9" s="35"/>
      <c r="N9" s="35" t="s">
        <v>33</v>
      </c>
      <c r="O9" s="35"/>
    </row>
    <row r="10" ht="33.75" customHeight="1">
      <c r="A10" s="35">
        <v>4.0</v>
      </c>
      <c r="B10" s="35" t="s">
        <v>239</v>
      </c>
      <c r="C10" s="35" t="s">
        <v>240</v>
      </c>
      <c r="D10" s="35" t="s">
        <v>241</v>
      </c>
      <c r="E10" s="35" t="s">
        <v>242</v>
      </c>
      <c r="F10" s="35">
        <v>5.0</v>
      </c>
      <c r="G10" s="35"/>
      <c r="H10" s="39" t="str">
        <f t="shared" si="1"/>
        <v/>
      </c>
      <c r="I10" s="35" t="s">
        <v>146</v>
      </c>
      <c r="J10" s="35" t="s">
        <v>173</v>
      </c>
      <c r="K10" s="35"/>
      <c r="L10" s="35"/>
      <c r="M10" s="35"/>
      <c r="N10" s="35" t="s">
        <v>33</v>
      </c>
      <c r="O10" s="35"/>
    </row>
    <row r="11" ht="33.75" customHeight="1">
      <c r="A11" s="35">
        <v>5.0</v>
      </c>
      <c r="B11" s="35" t="s">
        <v>239</v>
      </c>
      <c r="C11" s="35" t="s">
        <v>240</v>
      </c>
      <c r="D11" s="35" t="s">
        <v>243</v>
      </c>
      <c r="E11" s="35" t="s">
        <v>244</v>
      </c>
      <c r="F11" s="35">
        <v>5.0</v>
      </c>
      <c r="G11" s="35"/>
      <c r="H11" s="39" t="str">
        <f t="shared" si="1"/>
        <v/>
      </c>
      <c r="I11" s="35" t="s">
        <v>146</v>
      </c>
      <c r="J11" s="35" t="s">
        <v>173</v>
      </c>
      <c r="K11" s="35"/>
      <c r="L11" s="35"/>
      <c r="M11" s="35"/>
      <c r="N11" s="35" t="s">
        <v>33</v>
      </c>
      <c r="O11" s="35"/>
    </row>
    <row r="12" ht="33.75" customHeight="1">
      <c r="A12" s="35">
        <v>6.0</v>
      </c>
      <c r="B12" s="35" t="s">
        <v>245</v>
      </c>
      <c r="C12" s="35" t="s">
        <v>246</v>
      </c>
      <c r="D12" s="35" t="s">
        <v>247</v>
      </c>
      <c r="E12" s="35" t="s">
        <v>248</v>
      </c>
      <c r="F12" s="35">
        <v>5.0</v>
      </c>
      <c r="G12" s="35"/>
      <c r="H12" s="39" t="str">
        <f t="shared" si="1"/>
        <v/>
      </c>
      <c r="I12" s="35" t="s">
        <v>142</v>
      </c>
      <c r="J12" s="35" t="s">
        <v>179</v>
      </c>
      <c r="K12" s="35"/>
      <c r="L12" s="35"/>
      <c r="M12" s="35"/>
      <c r="N12" s="35" t="s">
        <v>33</v>
      </c>
      <c r="O12" s="35"/>
    </row>
    <row r="13" ht="33.75" customHeight="1">
      <c r="A13" s="35">
        <v>7.0</v>
      </c>
      <c r="B13" s="35" t="s">
        <v>245</v>
      </c>
      <c r="C13" s="35" t="s">
        <v>246</v>
      </c>
      <c r="D13" s="35" t="s">
        <v>249</v>
      </c>
      <c r="E13" s="35" t="s">
        <v>250</v>
      </c>
      <c r="F13" s="35">
        <v>5.0</v>
      </c>
      <c r="G13" s="35"/>
      <c r="H13" s="39" t="str">
        <f t="shared" si="1"/>
        <v/>
      </c>
      <c r="I13" s="35" t="s">
        <v>142</v>
      </c>
      <c r="J13" s="35" t="s">
        <v>179</v>
      </c>
      <c r="K13" s="35"/>
      <c r="L13" s="35"/>
      <c r="M13" s="35"/>
      <c r="N13" s="35" t="s">
        <v>33</v>
      </c>
      <c r="O13" s="35"/>
    </row>
    <row r="14" ht="33.75" customHeight="1">
      <c r="A14" s="35">
        <v>8.0</v>
      </c>
      <c r="B14" s="35" t="s">
        <v>251</v>
      </c>
      <c r="C14" s="35" t="s">
        <v>252</v>
      </c>
      <c r="D14" s="35" t="s">
        <v>253</v>
      </c>
      <c r="E14" s="35" t="s">
        <v>254</v>
      </c>
      <c r="F14" s="35">
        <v>5.0</v>
      </c>
      <c r="G14" s="35"/>
      <c r="H14" s="39" t="str">
        <f t="shared" si="1"/>
        <v/>
      </c>
      <c r="I14" s="35" t="s">
        <v>157</v>
      </c>
      <c r="J14" s="35" t="s">
        <v>179</v>
      </c>
      <c r="K14" s="35"/>
      <c r="L14" s="35"/>
      <c r="M14" s="35"/>
      <c r="N14" s="35" t="s">
        <v>33</v>
      </c>
      <c r="O14" s="35"/>
    </row>
    <row r="15" ht="33.75" customHeight="1">
      <c r="A15" s="35">
        <v>9.0</v>
      </c>
      <c r="B15" s="35" t="s">
        <v>251</v>
      </c>
      <c r="C15" s="35" t="s">
        <v>252</v>
      </c>
      <c r="D15" s="35" t="s">
        <v>255</v>
      </c>
      <c r="E15" s="35" t="s">
        <v>256</v>
      </c>
      <c r="F15" s="35">
        <v>5.0</v>
      </c>
      <c r="G15" s="35"/>
      <c r="H15" s="39" t="str">
        <f t="shared" si="1"/>
        <v/>
      </c>
      <c r="I15" s="35" t="s">
        <v>157</v>
      </c>
      <c r="J15" s="35" t="s">
        <v>179</v>
      </c>
      <c r="K15" s="35"/>
      <c r="L15" s="35"/>
      <c r="M15" s="35"/>
      <c r="N15" s="35" t="s">
        <v>33</v>
      </c>
      <c r="O15" s="35"/>
    </row>
    <row r="16" ht="33.75" customHeight="1">
      <c r="A16" s="35">
        <v>10.0</v>
      </c>
      <c r="B16" s="35" t="s">
        <v>257</v>
      </c>
      <c r="C16" s="35" t="s">
        <v>258</v>
      </c>
      <c r="D16" s="35" t="s">
        <v>259</v>
      </c>
      <c r="E16" s="35" t="s">
        <v>260</v>
      </c>
      <c r="F16" s="35">
        <v>5.0</v>
      </c>
      <c r="G16" s="35"/>
      <c r="H16" s="39" t="str">
        <f t="shared" si="1"/>
        <v/>
      </c>
      <c r="I16" s="35" t="s">
        <v>150</v>
      </c>
      <c r="J16" s="35" t="s">
        <v>182</v>
      </c>
      <c r="K16" s="35"/>
      <c r="L16" s="35"/>
      <c r="M16" s="35"/>
      <c r="N16" s="35" t="s">
        <v>33</v>
      </c>
      <c r="O16" s="35"/>
    </row>
    <row r="17" ht="33.75" customHeight="1">
      <c r="A17" s="35">
        <v>11.0</v>
      </c>
      <c r="B17" s="35" t="s">
        <v>257</v>
      </c>
      <c r="C17" s="35" t="s">
        <v>258</v>
      </c>
      <c r="D17" s="35" t="s">
        <v>261</v>
      </c>
      <c r="E17" s="35" t="s">
        <v>262</v>
      </c>
      <c r="F17" s="35">
        <v>5.0</v>
      </c>
      <c r="G17" s="35"/>
      <c r="H17" s="39" t="str">
        <f t="shared" si="1"/>
        <v/>
      </c>
      <c r="I17" s="35" t="s">
        <v>150</v>
      </c>
      <c r="J17" s="35" t="s">
        <v>182</v>
      </c>
      <c r="K17" s="35"/>
      <c r="L17" s="35"/>
      <c r="M17" s="35"/>
      <c r="N17" s="35" t="s">
        <v>33</v>
      </c>
      <c r="O17" s="35"/>
    </row>
    <row r="18" ht="33.75" customHeight="1">
      <c r="A18" s="35">
        <v>12.0</v>
      </c>
      <c r="B18" s="35" t="s">
        <v>263</v>
      </c>
      <c r="C18" s="35" t="s">
        <v>264</v>
      </c>
      <c r="D18" s="35" t="s">
        <v>265</v>
      </c>
      <c r="E18" s="35" t="s">
        <v>266</v>
      </c>
      <c r="F18" s="35">
        <v>5.0</v>
      </c>
      <c r="G18" s="35"/>
      <c r="H18" s="39" t="str">
        <f t="shared" si="1"/>
        <v/>
      </c>
      <c r="I18" s="35" t="s">
        <v>150</v>
      </c>
      <c r="J18" s="35" t="s">
        <v>182</v>
      </c>
      <c r="K18" s="35"/>
      <c r="L18" s="35"/>
      <c r="M18" s="35"/>
      <c r="N18" s="35" t="s">
        <v>33</v>
      </c>
      <c r="O18" s="35"/>
    </row>
    <row r="19" ht="33.75" customHeight="1">
      <c r="A19" s="35">
        <v>13.0</v>
      </c>
      <c r="B19" s="35" t="s">
        <v>263</v>
      </c>
      <c r="C19" s="35" t="s">
        <v>267</v>
      </c>
      <c r="D19" s="35" t="s">
        <v>268</v>
      </c>
      <c r="E19" s="35" t="s">
        <v>269</v>
      </c>
      <c r="F19" s="35">
        <v>5.0</v>
      </c>
      <c r="G19" s="35"/>
      <c r="H19" s="39" t="str">
        <f t="shared" si="1"/>
        <v/>
      </c>
      <c r="I19" s="35" t="s">
        <v>160</v>
      </c>
      <c r="J19" s="35" t="s">
        <v>188</v>
      </c>
      <c r="K19" s="35"/>
      <c r="L19" s="35"/>
      <c r="M19" s="35"/>
      <c r="N19" s="35" t="s">
        <v>33</v>
      </c>
      <c r="O19" s="35"/>
    </row>
    <row r="20" ht="33.75" customHeight="1">
      <c r="A20" s="35">
        <v>14.0</v>
      </c>
      <c r="B20" s="35" t="s">
        <v>270</v>
      </c>
      <c r="C20" s="35" t="s">
        <v>271</v>
      </c>
      <c r="D20" s="35" t="s">
        <v>272</v>
      </c>
      <c r="E20" s="35" t="s">
        <v>273</v>
      </c>
      <c r="F20" s="35">
        <v>5.0</v>
      </c>
      <c r="G20" s="35"/>
      <c r="H20" s="39" t="str">
        <f t="shared" si="1"/>
        <v/>
      </c>
      <c r="I20" s="35" t="s">
        <v>146</v>
      </c>
      <c r="J20" s="35" t="s">
        <v>188</v>
      </c>
      <c r="K20" s="35"/>
      <c r="L20" s="35"/>
      <c r="M20" s="35"/>
      <c r="N20" s="35" t="s">
        <v>33</v>
      </c>
      <c r="O20" s="35"/>
    </row>
    <row r="21" ht="33.75" customHeight="1">
      <c r="A21" s="35">
        <v>15.0</v>
      </c>
      <c r="B21" s="35" t="s">
        <v>270</v>
      </c>
      <c r="C21" s="35" t="s">
        <v>246</v>
      </c>
      <c r="D21" s="35" t="s">
        <v>274</v>
      </c>
      <c r="E21" s="35" t="s">
        <v>275</v>
      </c>
      <c r="F21" s="35">
        <v>5.0</v>
      </c>
      <c r="G21" s="35"/>
      <c r="H21" s="39" t="str">
        <f t="shared" si="1"/>
        <v/>
      </c>
      <c r="I21" s="35" t="s">
        <v>142</v>
      </c>
      <c r="J21" s="35" t="s">
        <v>179</v>
      </c>
      <c r="K21" s="35"/>
      <c r="L21" s="35"/>
      <c r="M21" s="35"/>
      <c r="N21" s="35" t="s">
        <v>33</v>
      </c>
      <c r="O21" s="35"/>
    </row>
    <row r="22" ht="33.75" customHeight="1">
      <c r="A22" s="35">
        <v>16.0</v>
      </c>
      <c r="B22" s="35" t="s">
        <v>276</v>
      </c>
      <c r="C22" s="35" t="s">
        <v>240</v>
      </c>
      <c r="D22" s="35" t="s">
        <v>308</v>
      </c>
      <c r="E22" s="35" t="s">
        <v>309</v>
      </c>
      <c r="F22" s="35">
        <v>5.0</v>
      </c>
      <c r="G22" s="35"/>
      <c r="H22" s="39" t="str">
        <f t="shared" si="1"/>
        <v/>
      </c>
      <c r="I22" s="35" t="s">
        <v>146</v>
      </c>
      <c r="J22" s="35" t="s">
        <v>173</v>
      </c>
      <c r="K22" s="35"/>
      <c r="L22" s="35"/>
      <c r="M22" s="35"/>
      <c r="N22" s="35" t="s">
        <v>33</v>
      </c>
      <c r="O22" s="35"/>
    </row>
    <row r="23" ht="33.75" customHeight="1">
      <c r="A23" s="35">
        <v>17.0</v>
      </c>
      <c r="B23" s="35" t="s">
        <v>276</v>
      </c>
      <c r="C23" s="35" t="s">
        <v>240</v>
      </c>
      <c r="D23" s="35" t="s">
        <v>310</v>
      </c>
      <c r="E23" s="35" t="s">
        <v>311</v>
      </c>
      <c r="F23" s="35">
        <v>5.0</v>
      </c>
      <c r="G23" s="35"/>
      <c r="H23" s="39" t="str">
        <f t="shared" si="1"/>
        <v/>
      </c>
      <c r="I23" s="35" t="s">
        <v>146</v>
      </c>
      <c r="J23" s="35" t="s">
        <v>173</v>
      </c>
      <c r="K23" s="35"/>
      <c r="L23" s="35"/>
      <c r="M23" s="35"/>
      <c r="N23" s="35" t="s">
        <v>33</v>
      </c>
      <c r="O23" s="35"/>
    </row>
    <row r="24" ht="33.75" customHeight="1">
      <c r="A24" s="35">
        <v>18.0</v>
      </c>
      <c r="B24" s="35" t="s">
        <v>276</v>
      </c>
      <c r="C24" s="35" t="s">
        <v>240</v>
      </c>
      <c r="D24" s="35" t="s">
        <v>312</v>
      </c>
      <c r="E24" s="35" t="s">
        <v>313</v>
      </c>
      <c r="F24" s="35">
        <v>5.0</v>
      </c>
      <c r="G24" s="35"/>
      <c r="H24" s="39" t="str">
        <f t="shared" si="1"/>
        <v/>
      </c>
      <c r="I24" s="35" t="s">
        <v>146</v>
      </c>
      <c r="J24" s="35" t="s">
        <v>173</v>
      </c>
      <c r="K24" s="35"/>
      <c r="L24" s="35"/>
      <c r="M24" s="35"/>
      <c r="N24" s="35" t="s">
        <v>33</v>
      </c>
      <c r="O24" s="35"/>
    </row>
    <row r="25" ht="33.75" customHeight="1">
      <c r="A25" s="35">
        <v>19.0</v>
      </c>
      <c r="B25" s="35" t="s">
        <v>276</v>
      </c>
      <c r="C25" s="35" t="s">
        <v>233</v>
      </c>
      <c r="D25" s="35" t="s">
        <v>314</v>
      </c>
      <c r="E25" s="35" t="s">
        <v>315</v>
      </c>
      <c r="F25" s="35">
        <v>5.0</v>
      </c>
      <c r="G25" s="35"/>
      <c r="H25" s="39" t="str">
        <f t="shared" si="1"/>
        <v/>
      </c>
      <c r="I25" s="35" t="s">
        <v>166</v>
      </c>
      <c r="J25" s="35" t="s">
        <v>191</v>
      </c>
      <c r="K25" s="35"/>
      <c r="L25" s="35"/>
      <c r="M25" s="35"/>
      <c r="N25" s="35" t="s">
        <v>33</v>
      </c>
      <c r="O25" s="35"/>
    </row>
    <row r="26" ht="33.75" customHeight="1">
      <c r="A26" s="35">
        <v>20.0</v>
      </c>
      <c r="B26" s="35" t="s">
        <v>276</v>
      </c>
      <c r="C26" s="35" t="s">
        <v>252</v>
      </c>
      <c r="D26" s="35" t="s">
        <v>316</v>
      </c>
      <c r="E26" s="35" t="s">
        <v>317</v>
      </c>
      <c r="F26" s="35">
        <v>5.0</v>
      </c>
      <c r="G26" s="35"/>
      <c r="H26" s="39" t="str">
        <f t="shared" si="1"/>
        <v/>
      </c>
      <c r="I26" s="35" t="s">
        <v>157</v>
      </c>
      <c r="J26" s="35" t="s">
        <v>179</v>
      </c>
      <c r="K26" s="35"/>
      <c r="L26" s="35"/>
      <c r="M26" s="35"/>
      <c r="N26" s="35" t="s">
        <v>33</v>
      </c>
      <c r="O26" s="35"/>
    </row>
    <row r="27" ht="33.75" customHeight="1"/>
    <row r="28" ht="33.75" customHeight="1">
      <c r="A28" s="40" t="s">
        <v>289</v>
      </c>
      <c r="G28" s="40">
        <f>SUM(G7:G26)</f>
        <v>0</v>
      </c>
      <c r="H28" s="41">
        <f>G28/100</f>
        <v>0</v>
      </c>
      <c r="I28" s="40" t="str">
        <f>IF(G28&gt;=90,"Tốt",IF(G28&gt;=80,"Khá",IF(G28&gt;=65,"Đạt","Chưa đạt")))</f>
        <v>Chưa đạt</v>
      </c>
    </row>
    <row r="29" ht="33.75" customHeight="1"/>
    <row r="30" ht="33.75" customHeight="1">
      <c r="A30" s="42" t="s">
        <v>290</v>
      </c>
    </row>
    <row r="31" ht="33.75" customHeight="1"/>
    <row r="32" ht="33.75" customHeight="1">
      <c r="A32" s="43" t="s">
        <v>291</v>
      </c>
      <c r="D32" s="43"/>
      <c r="E32" s="43"/>
      <c r="F32" s="43"/>
      <c r="G32" s="43" t="s">
        <v>292</v>
      </c>
      <c r="J32" s="43"/>
      <c r="K32" s="43"/>
      <c r="L32" s="43"/>
      <c r="M32" s="43" t="s">
        <v>293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O1"/>
    <mergeCell ref="A2:O2"/>
    <mergeCell ref="A28:F28"/>
    <mergeCell ref="I28:J28"/>
    <mergeCell ref="A30:O30"/>
    <mergeCell ref="A32:C32"/>
    <mergeCell ref="G32:I32"/>
    <mergeCell ref="M32:O32"/>
  </mergeCells>
  <dataValidations>
    <dataValidation type="decimal" allowBlank="1" sqref="G7:G26">
      <formula1>0.0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8.0"/>
    <col customWidth="1" min="3" max="3" width="20.0"/>
    <col customWidth="1" min="4" max="4" width="52.0"/>
    <col customWidth="1" min="5" max="5" width="38.0"/>
    <col customWidth="1" min="6" max="8" width="10.0"/>
    <col customWidth="1" min="9" max="10" width="22.0"/>
    <col customWidth="1" min="11" max="12" width="32.0"/>
    <col customWidth="1" min="13" max="13" width="14.0"/>
    <col customWidth="1" min="14" max="14" width="22.0"/>
    <col customWidth="1" min="15" max="15" width="20.0"/>
  </cols>
  <sheetData>
    <row r="1" ht="24.0" customHeight="1">
      <c r="A1" s="36" t="s">
        <v>318</v>
      </c>
    </row>
    <row r="2" ht="24.0" customHeight="1">
      <c r="A2" s="37" t="s">
        <v>319</v>
      </c>
    </row>
    <row r="3" ht="33.75" customHeight="1">
      <c r="A3" s="34" t="s">
        <v>211</v>
      </c>
      <c r="B3" s="34" t="s">
        <v>212</v>
      </c>
      <c r="C3" s="34" t="s">
        <v>213</v>
      </c>
    </row>
    <row r="4" ht="33.75" customHeight="1">
      <c r="A4" s="35" t="s">
        <v>214</v>
      </c>
      <c r="B4" s="35" t="s">
        <v>25</v>
      </c>
      <c r="C4" s="35" t="s">
        <v>215</v>
      </c>
    </row>
    <row r="5" ht="33.75" customHeight="1"/>
    <row r="6" ht="33.75" customHeight="1">
      <c r="A6" s="38" t="s">
        <v>20</v>
      </c>
      <c r="B6" s="38" t="s">
        <v>216</v>
      </c>
      <c r="C6" s="38" t="s">
        <v>217</v>
      </c>
      <c r="D6" s="38" t="s">
        <v>218</v>
      </c>
      <c r="E6" s="38" t="s">
        <v>219</v>
      </c>
      <c r="F6" s="38" t="s">
        <v>220</v>
      </c>
      <c r="G6" s="38" t="s">
        <v>221</v>
      </c>
      <c r="H6" s="38" t="s">
        <v>222</v>
      </c>
      <c r="I6" s="38" t="s">
        <v>223</v>
      </c>
      <c r="J6" s="38" t="s">
        <v>224</v>
      </c>
      <c r="K6" s="38" t="s">
        <v>225</v>
      </c>
      <c r="L6" s="38" t="s">
        <v>226</v>
      </c>
      <c r="M6" s="38" t="s">
        <v>227</v>
      </c>
      <c r="N6" s="38" t="s">
        <v>228</v>
      </c>
      <c r="O6" s="38" t="s">
        <v>194</v>
      </c>
    </row>
    <row r="7" ht="33.75" customHeight="1">
      <c r="A7" s="35">
        <v>1.0</v>
      </c>
      <c r="B7" s="35" t="s">
        <v>229</v>
      </c>
      <c r="C7" s="35" t="s">
        <v>230</v>
      </c>
      <c r="D7" s="35" t="s">
        <v>231</v>
      </c>
      <c r="E7" s="35" t="s">
        <v>232</v>
      </c>
      <c r="F7" s="35">
        <v>5.0</v>
      </c>
      <c r="G7" s="35"/>
      <c r="H7" s="39" t="str">
        <f t="shared" ref="H7:H26" si="1">IF(G7="","",G7/F7)</f>
        <v/>
      </c>
      <c r="I7" s="35" t="s">
        <v>142</v>
      </c>
      <c r="J7" s="35" t="s">
        <v>170</v>
      </c>
      <c r="K7" s="35"/>
      <c r="L7" s="35"/>
      <c r="M7" s="35"/>
      <c r="N7" s="35" t="s">
        <v>25</v>
      </c>
      <c r="O7" s="35"/>
    </row>
    <row r="8" ht="33.75" customHeight="1">
      <c r="A8" s="35">
        <v>2.0</v>
      </c>
      <c r="B8" s="35" t="s">
        <v>229</v>
      </c>
      <c r="C8" s="35" t="s">
        <v>233</v>
      </c>
      <c r="D8" s="35" t="s">
        <v>234</v>
      </c>
      <c r="E8" s="35" t="s">
        <v>235</v>
      </c>
      <c r="F8" s="35">
        <v>5.0</v>
      </c>
      <c r="G8" s="35"/>
      <c r="H8" s="39" t="str">
        <f t="shared" si="1"/>
        <v/>
      </c>
      <c r="I8" s="35" t="s">
        <v>166</v>
      </c>
      <c r="J8" s="35" t="s">
        <v>191</v>
      </c>
      <c r="K8" s="35"/>
      <c r="L8" s="35"/>
      <c r="M8" s="35"/>
      <c r="N8" s="35" t="s">
        <v>25</v>
      </c>
      <c r="O8" s="35"/>
    </row>
    <row r="9" ht="33.75" customHeight="1">
      <c r="A9" s="35">
        <v>3.0</v>
      </c>
      <c r="B9" s="35" t="s">
        <v>229</v>
      </c>
      <c r="C9" s="35" t="s">
        <v>236</v>
      </c>
      <c r="D9" s="35" t="s">
        <v>237</v>
      </c>
      <c r="E9" s="35" t="s">
        <v>238</v>
      </c>
      <c r="F9" s="35">
        <v>5.0</v>
      </c>
      <c r="G9" s="35"/>
      <c r="H9" s="39" t="str">
        <f t="shared" si="1"/>
        <v/>
      </c>
      <c r="I9" s="35" t="s">
        <v>166</v>
      </c>
      <c r="J9" s="35" t="s">
        <v>191</v>
      </c>
      <c r="K9" s="35"/>
      <c r="L9" s="35"/>
      <c r="M9" s="35"/>
      <c r="N9" s="35" t="s">
        <v>25</v>
      </c>
      <c r="O9" s="35"/>
    </row>
    <row r="10" ht="33.75" customHeight="1">
      <c r="A10" s="35">
        <v>4.0</v>
      </c>
      <c r="B10" s="35" t="s">
        <v>239</v>
      </c>
      <c r="C10" s="35" t="s">
        <v>240</v>
      </c>
      <c r="D10" s="35" t="s">
        <v>241</v>
      </c>
      <c r="E10" s="35" t="s">
        <v>242</v>
      </c>
      <c r="F10" s="35">
        <v>5.0</v>
      </c>
      <c r="G10" s="35"/>
      <c r="H10" s="39" t="str">
        <f t="shared" si="1"/>
        <v/>
      </c>
      <c r="I10" s="35" t="s">
        <v>146</v>
      </c>
      <c r="J10" s="35" t="s">
        <v>173</v>
      </c>
      <c r="K10" s="35"/>
      <c r="L10" s="35"/>
      <c r="M10" s="35"/>
      <c r="N10" s="35" t="s">
        <v>25</v>
      </c>
      <c r="O10" s="35"/>
    </row>
    <row r="11" ht="33.75" customHeight="1">
      <c r="A11" s="35">
        <v>5.0</v>
      </c>
      <c r="B11" s="35" t="s">
        <v>239</v>
      </c>
      <c r="C11" s="35" t="s">
        <v>240</v>
      </c>
      <c r="D11" s="35" t="s">
        <v>243</v>
      </c>
      <c r="E11" s="35" t="s">
        <v>244</v>
      </c>
      <c r="F11" s="35">
        <v>5.0</v>
      </c>
      <c r="G11" s="35"/>
      <c r="H11" s="39" t="str">
        <f t="shared" si="1"/>
        <v/>
      </c>
      <c r="I11" s="35" t="s">
        <v>146</v>
      </c>
      <c r="J11" s="35" t="s">
        <v>173</v>
      </c>
      <c r="K11" s="35"/>
      <c r="L11" s="35"/>
      <c r="M11" s="35"/>
      <c r="N11" s="35" t="s">
        <v>25</v>
      </c>
      <c r="O11" s="35"/>
    </row>
    <row r="12" ht="33.75" customHeight="1">
      <c r="A12" s="35">
        <v>6.0</v>
      </c>
      <c r="B12" s="35" t="s">
        <v>245</v>
      </c>
      <c r="C12" s="35" t="s">
        <v>246</v>
      </c>
      <c r="D12" s="35" t="s">
        <v>247</v>
      </c>
      <c r="E12" s="35" t="s">
        <v>248</v>
      </c>
      <c r="F12" s="35">
        <v>5.0</v>
      </c>
      <c r="G12" s="35"/>
      <c r="H12" s="39" t="str">
        <f t="shared" si="1"/>
        <v/>
      </c>
      <c r="I12" s="35" t="s">
        <v>142</v>
      </c>
      <c r="J12" s="35" t="s">
        <v>179</v>
      </c>
      <c r="K12" s="35"/>
      <c r="L12" s="35"/>
      <c r="M12" s="35"/>
      <c r="N12" s="35" t="s">
        <v>25</v>
      </c>
      <c r="O12" s="35"/>
    </row>
    <row r="13" ht="33.75" customHeight="1">
      <c r="A13" s="35">
        <v>7.0</v>
      </c>
      <c r="B13" s="35" t="s">
        <v>245</v>
      </c>
      <c r="C13" s="35" t="s">
        <v>246</v>
      </c>
      <c r="D13" s="35" t="s">
        <v>249</v>
      </c>
      <c r="E13" s="35" t="s">
        <v>250</v>
      </c>
      <c r="F13" s="35">
        <v>5.0</v>
      </c>
      <c r="G13" s="35"/>
      <c r="H13" s="39" t="str">
        <f t="shared" si="1"/>
        <v/>
      </c>
      <c r="I13" s="35" t="s">
        <v>142</v>
      </c>
      <c r="J13" s="35" t="s">
        <v>179</v>
      </c>
      <c r="K13" s="35"/>
      <c r="L13" s="35"/>
      <c r="M13" s="35"/>
      <c r="N13" s="35" t="s">
        <v>25</v>
      </c>
      <c r="O13" s="35"/>
    </row>
    <row r="14" ht="33.75" customHeight="1">
      <c r="A14" s="35">
        <v>8.0</v>
      </c>
      <c r="B14" s="35" t="s">
        <v>251</v>
      </c>
      <c r="C14" s="35" t="s">
        <v>252</v>
      </c>
      <c r="D14" s="35" t="s">
        <v>253</v>
      </c>
      <c r="E14" s="35" t="s">
        <v>254</v>
      </c>
      <c r="F14" s="35">
        <v>5.0</v>
      </c>
      <c r="G14" s="35"/>
      <c r="H14" s="39" t="str">
        <f t="shared" si="1"/>
        <v/>
      </c>
      <c r="I14" s="35" t="s">
        <v>157</v>
      </c>
      <c r="J14" s="35" t="s">
        <v>179</v>
      </c>
      <c r="K14" s="35"/>
      <c r="L14" s="35"/>
      <c r="M14" s="35"/>
      <c r="N14" s="35" t="s">
        <v>25</v>
      </c>
      <c r="O14" s="35"/>
    </row>
    <row r="15" ht="33.75" customHeight="1">
      <c r="A15" s="35">
        <v>9.0</v>
      </c>
      <c r="B15" s="35" t="s">
        <v>251</v>
      </c>
      <c r="C15" s="35" t="s">
        <v>252</v>
      </c>
      <c r="D15" s="35" t="s">
        <v>255</v>
      </c>
      <c r="E15" s="35" t="s">
        <v>256</v>
      </c>
      <c r="F15" s="35">
        <v>5.0</v>
      </c>
      <c r="G15" s="35"/>
      <c r="H15" s="39" t="str">
        <f t="shared" si="1"/>
        <v/>
      </c>
      <c r="I15" s="35" t="s">
        <v>157</v>
      </c>
      <c r="J15" s="35" t="s">
        <v>179</v>
      </c>
      <c r="K15" s="35"/>
      <c r="L15" s="35"/>
      <c r="M15" s="35"/>
      <c r="N15" s="35" t="s">
        <v>25</v>
      </c>
      <c r="O15" s="35"/>
    </row>
    <row r="16" ht="33.75" customHeight="1">
      <c r="A16" s="35">
        <v>10.0</v>
      </c>
      <c r="B16" s="35" t="s">
        <v>257</v>
      </c>
      <c r="C16" s="35" t="s">
        <v>258</v>
      </c>
      <c r="D16" s="35" t="s">
        <v>259</v>
      </c>
      <c r="E16" s="35" t="s">
        <v>260</v>
      </c>
      <c r="F16" s="35">
        <v>5.0</v>
      </c>
      <c r="G16" s="35"/>
      <c r="H16" s="39" t="str">
        <f t="shared" si="1"/>
        <v/>
      </c>
      <c r="I16" s="35" t="s">
        <v>150</v>
      </c>
      <c r="J16" s="35" t="s">
        <v>182</v>
      </c>
      <c r="K16" s="35"/>
      <c r="L16" s="35"/>
      <c r="M16" s="35"/>
      <c r="N16" s="35" t="s">
        <v>25</v>
      </c>
      <c r="O16" s="35"/>
    </row>
    <row r="17" ht="33.75" customHeight="1">
      <c r="A17" s="35">
        <v>11.0</v>
      </c>
      <c r="B17" s="35" t="s">
        <v>257</v>
      </c>
      <c r="C17" s="35" t="s">
        <v>258</v>
      </c>
      <c r="D17" s="35" t="s">
        <v>261</v>
      </c>
      <c r="E17" s="35" t="s">
        <v>262</v>
      </c>
      <c r="F17" s="35">
        <v>5.0</v>
      </c>
      <c r="G17" s="35"/>
      <c r="H17" s="39" t="str">
        <f t="shared" si="1"/>
        <v/>
      </c>
      <c r="I17" s="35" t="s">
        <v>150</v>
      </c>
      <c r="J17" s="35" t="s">
        <v>182</v>
      </c>
      <c r="K17" s="35"/>
      <c r="L17" s="35"/>
      <c r="M17" s="35"/>
      <c r="N17" s="35" t="s">
        <v>25</v>
      </c>
      <c r="O17" s="35"/>
    </row>
    <row r="18" ht="33.75" customHeight="1">
      <c r="A18" s="35">
        <v>12.0</v>
      </c>
      <c r="B18" s="35" t="s">
        <v>263</v>
      </c>
      <c r="C18" s="35" t="s">
        <v>264</v>
      </c>
      <c r="D18" s="35" t="s">
        <v>265</v>
      </c>
      <c r="E18" s="35" t="s">
        <v>266</v>
      </c>
      <c r="F18" s="35">
        <v>5.0</v>
      </c>
      <c r="G18" s="35"/>
      <c r="H18" s="39" t="str">
        <f t="shared" si="1"/>
        <v/>
      </c>
      <c r="I18" s="35" t="s">
        <v>150</v>
      </c>
      <c r="J18" s="35" t="s">
        <v>182</v>
      </c>
      <c r="K18" s="35"/>
      <c r="L18" s="35"/>
      <c r="M18" s="35"/>
      <c r="N18" s="35" t="s">
        <v>25</v>
      </c>
      <c r="O18" s="35"/>
    </row>
    <row r="19" ht="33.75" customHeight="1">
      <c r="A19" s="35">
        <v>13.0</v>
      </c>
      <c r="B19" s="35" t="s">
        <v>263</v>
      </c>
      <c r="C19" s="35" t="s">
        <v>267</v>
      </c>
      <c r="D19" s="35" t="s">
        <v>268</v>
      </c>
      <c r="E19" s="35" t="s">
        <v>269</v>
      </c>
      <c r="F19" s="35">
        <v>5.0</v>
      </c>
      <c r="G19" s="35"/>
      <c r="H19" s="39" t="str">
        <f t="shared" si="1"/>
        <v/>
      </c>
      <c r="I19" s="35" t="s">
        <v>160</v>
      </c>
      <c r="J19" s="35" t="s">
        <v>188</v>
      </c>
      <c r="K19" s="35"/>
      <c r="L19" s="35"/>
      <c r="M19" s="35"/>
      <c r="N19" s="35" t="s">
        <v>25</v>
      </c>
      <c r="O19" s="35"/>
    </row>
    <row r="20" ht="33.75" customHeight="1">
      <c r="A20" s="35">
        <v>14.0</v>
      </c>
      <c r="B20" s="35" t="s">
        <v>270</v>
      </c>
      <c r="C20" s="35" t="s">
        <v>271</v>
      </c>
      <c r="D20" s="35" t="s">
        <v>272</v>
      </c>
      <c r="E20" s="35" t="s">
        <v>273</v>
      </c>
      <c r="F20" s="35">
        <v>5.0</v>
      </c>
      <c r="G20" s="35"/>
      <c r="H20" s="39" t="str">
        <f t="shared" si="1"/>
        <v/>
      </c>
      <c r="I20" s="35" t="s">
        <v>146</v>
      </c>
      <c r="J20" s="35" t="s">
        <v>188</v>
      </c>
      <c r="K20" s="35"/>
      <c r="L20" s="35"/>
      <c r="M20" s="35"/>
      <c r="N20" s="35" t="s">
        <v>25</v>
      </c>
      <c r="O20" s="35"/>
    </row>
    <row r="21" ht="33.75" customHeight="1">
      <c r="A21" s="35">
        <v>15.0</v>
      </c>
      <c r="B21" s="35" t="s">
        <v>270</v>
      </c>
      <c r="C21" s="35" t="s">
        <v>246</v>
      </c>
      <c r="D21" s="35" t="s">
        <v>274</v>
      </c>
      <c r="E21" s="35" t="s">
        <v>275</v>
      </c>
      <c r="F21" s="35">
        <v>5.0</v>
      </c>
      <c r="G21" s="35"/>
      <c r="H21" s="39" t="str">
        <f t="shared" si="1"/>
        <v/>
      </c>
      <c r="I21" s="35" t="s">
        <v>142</v>
      </c>
      <c r="J21" s="35" t="s">
        <v>179</v>
      </c>
      <c r="K21" s="35"/>
      <c r="L21" s="35"/>
      <c r="M21" s="35"/>
      <c r="N21" s="35" t="s">
        <v>25</v>
      </c>
      <c r="O21" s="35"/>
    </row>
    <row r="22" ht="33.75" customHeight="1">
      <c r="A22" s="35">
        <v>16.0</v>
      </c>
      <c r="B22" s="35" t="s">
        <v>276</v>
      </c>
      <c r="C22" s="35" t="s">
        <v>258</v>
      </c>
      <c r="D22" s="35" t="s">
        <v>320</v>
      </c>
      <c r="E22" s="35" t="s">
        <v>321</v>
      </c>
      <c r="F22" s="35">
        <v>5.0</v>
      </c>
      <c r="G22" s="35"/>
      <c r="H22" s="39" t="str">
        <f t="shared" si="1"/>
        <v/>
      </c>
      <c r="I22" s="35" t="s">
        <v>150</v>
      </c>
      <c r="J22" s="35" t="s">
        <v>182</v>
      </c>
      <c r="K22" s="35"/>
      <c r="L22" s="35"/>
      <c r="M22" s="35"/>
      <c r="N22" s="35" t="s">
        <v>25</v>
      </c>
      <c r="O22" s="35"/>
    </row>
    <row r="23" ht="33.75" customHeight="1">
      <c r="A23" s="35">
        <v>17.0</v>
      </c>
      <c r="B23" s="35" t="s">
        <v>276</v>
      </c>
      <c r="C23" s="35" t="s">
        <v>258</v>
      </c>
      <c r="D23" s="35" t="s">
        <v>322</v>
      </c>
      <c r="E23" s="35" t="s">
        <v>323</v>
      </c>
      <c r="F23" s="35">
        <v>5.0</v>
      </c>
      <c r="G23" s="35"/>
      <c r="H23" s="39" t="str">
        <f t="shared" si="1"/>
        <v/>
      </c>
      <c r="I23" s="35" t="s">
        <v>150</v>
      </c>
      <c r="J23" s="35" t="s">
        <v>182</v>
      </c>
      <c r="K23" s="35"/>
      <c r="L23" s="35"/>
      <c r="M23" s="35"/>
      <c r="N23" s="35" t="s">
        <v>25</v>
      </c>
      <c r="O23" s="35"/>
    </row>
    <row r="24" ht="33.75" customHeight="1">
      <c r="A24" s="35">
        <v>18.0</v>
      </c>
      <c r="B24" s="35" t="s">
        <v>276</v>
      </c>
      <c r="C24" s="35" t="s">
        <v>264</v>
      </c>
      <c r="D24" s="35" t="s">
        <v>324</v>
      </c>
      <c r="E24" s="35" t="s">
        <v>325</v>
      </c>
      <c r="F24" s="35">
        <v>5.0</v>
      </c>
      <c r="G24" s="35"/>
      <c r="H24" s="39" t="str">
        <f t="shared" si="1"/>
        <v/>
      </c>
      <c r="I24" s="35" t="s">
        <v>150</v>
      </c>
      <c r="J24" s="35" t="s">
        <v>182</v>
      </c>
      <c r="K24" s="35"/>
      <c r="L24" s="35"/>
      <c r="M24" s="35"/>
      <c r="N24" s="35" t="s">
        <v>25</v>
      </c>
      <c r="O24" s="35"/>
    </row>
    <row r="25" ht="33.75" customHeight="1">
      <c r="A25" s="35">
        <v>19.0</v>
      </c>
      <c r="B25" s="35" t="s">
        <v>276</v>
      </c>
      <c r="C25" s="35" t="s">
        <v>267</v>
      </c>
      <c r="D25" s="35" t="s">
        <v>326</v>
      </c>
      <c r="E25" s="35" t="s">
        <v>327</v>
      </c>
      <c r="F25" s="35">
        <v>5.0</v>
      </c>
      <c r="G25" s="35"/>
      <c r="H25" s="39" t="str">
        <f t="shared" si="1"/>
        <v/>
      </c>
      <c r="I25" s="35" t="s">
        <v>160</v>
      </c>
      <c r="J25" s="35" t="s">
        <v>188</v>
      </c>
      <c r="K25" s="35"/>
      <c r="L25" s="35"/>
      <c r="M25" s="35"/>
      <c r="N25" s="35" t="s">
        <v>25</v>
      </c>
      <c r="O25" s="35"/>
    </row>
    <row r="26" ht="33.75" customHeight="1">
      <c r="A26" s="35">
        <v>20.0</v>
      </c>
      <c r="B26" s="35" t="s">
        <v>276</v>
      </c>
      <c r="C26" s="35" t="s">
        <v>258</v>
      </c>
      <c r="D26" s="35" t="s">
        <v>328</v>
      </c>
      <c r="E26" s="35" t="s">
        <v>329</v>
      </c>
      <c r="F26" s="35">
        <v>5.0</v>
      </c>
      <c r="G26" s="35"/>
      <c r="H26" s="39" t="str">
        <f t="shared" si="1"/>
        <v/>
      </c>
      <c r="I26" s="35" t="s">
        <v>150</v>
      </c>
      <c r="J26" s="35" t="s">
        <v>182</v>
      </c>
      <c r="K26" s="35"/>
      <c r="L26" s="35"/>
      <c r="M26" s="35"/>
      <c r="N26" s="35" t="s">
        <v>25</v>
      </c>
      <c r="O26" s="35"/>
    </row>
    <row r="27" ht="33.75" customHeight="1"/>
    <row r="28" ht="33.75" customHeight="1">
      <c r="A28" s="40" t="s">
        <v>289</v>
      </c>
      <c r="G28" s="40">
        <f>SUM(G7:G26)</f>
        <v>0</v>
      </c>
      <c r="H28" s="41">
        <f>G28/100</f>
        <v>0</v>
      </c>
      <c r="I28" s="40" t="str">
        <f>IF(G28&gt;=90,"Tốt",IF(G28&gt;=80,"Khá",IF(G28&gt;=65,"Đạt","Chưa đạt")))</f>
        <v>Chưa đạt</v>
      </c>
    </row>
    <row r="29" ht="33.75" customHeight="1"/>
    <row r="30" ht="33.75" customHeight="1">
      <c r="A30" s="42" t="s">
        <v>290</v>
      </c>
    </row>
    <row r="31" ht="33.75" customHeight="1"/>
    <row r="32" ht="33.75" customHeight="1">
      <c r="A32" s="43" t="s">
        <v>291</v>
      </c>
      <c r="D32" s="43"/>
      <c r="E32" s="43"/>
      <c r="F32" s="43"/>
      <c r="G32" s="43" t="s">
        <v>292</v>
      </c>
      <c r="J32" s="43"/>
      <c r="K32" s="43"/>
      <c r="L32" s="43"/>
      <c r="M32" s="43" t="s">
        <v>293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O1"/>
    <mergeCell ref="A2:O2"/>
    <mergeCell ref="A28:F28"/>
    <mergeCell ref="I28:J28"/>
    <mergeCell ref="A30:O30"/>
    <mergeCell ref="A32:C32"/>
    <mergeCell ref="G32:I32"/>
    <mergeCell ref="M32:O32"/>
  </mergeCells>
  <dataValidations>
    <dataValidation type="decimal" allowBlank="1" sqref="G7:G26">
      <formula1>0.0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8.0"/>
    <col customWidth="1" min="3" max="3" width="20.0"/>
    <col customWidth="1" min="4" max="4" width="52.0"/>
    <col customWidth="1" min="5" max="5" width="38.0"/>
    <col customWidth="1" min="6" max="8" width="10.0"/>
    <col customWidth="1" min="9" max="10" width="22.0"/>
    <col customWidth="1" min="11" max="12" width="32.0"/>
    <col customWidth="1" min="13" max="13" width="14.0"/>
    <col customWidth="1" min="14" max="14" width="22.0"/>
    <col customWidth="1" min="15" max="15" width="20.0"/>
  </cols>
  <sheetData>
    <row r="1" ht="24.0" customHeight="1">
      <c r="A1" s="36" t="s">
        <v>330</v>
      </c>
    </row>
    <row r="2" ht="24.0" customHeight="1">
      <c r="A2" s="37" t="s">
        <v>331</v>
      </c>
    </row>
    <row r="3" ht="33.75" customHeight="1">
      <c r="A3" s="34" t="s">
        <v>211</v>
      </c>
      <c r="B3" s="34" t="s">
        <v>212</v>
      </c>
      <c r="C3" s="34" t="s">
        <v>213</v>
      </c>
    </row>
    <row r="4" ht="33.75" customHeight="1">
      <c r="A4" s="35" t="s">
        <v>214</v>
      </c>
      <c r="B4" s="35" t="s">
        <v>37</v>
      </c>
      <c r="C4" s="35" t="s">
        <v>215</v>
      </c>
    </row>
    <row r="5" ht="33.75" customHeight="1"/>
    <row r="6" ht="33.75" customHeight="1">
      <c r="A6" s="38" t="s">
        <v>20</v>
      </c>
      <c r="B6" s="38" t="s">
        <v>216</v>
      </c>
      <c r="C6" s="38" t="s">
        <v>217</v>
      </c>
      <c r="D6" s="38" t="s">
        <v>218</v>
      </c>
      <c r="E6" s="38" t="s">
        <v>219</v>
      </c>
      <c r="F6" s="38" t="s">
        <v>220</v>
      </c>
      <c r="G6" s="38" t="s">
        <v>221</v>
      </c>
      <c r="H6" s="38" t="s">
        <v>222</v>
      </c>
      <c r="I6" s="38" t="s">
        <v>223</v>
      </c>
      <c r="J6" s="38" t="s">
        <v>224</v>
      </c>
      <c r="K6" s="38" t="s">
        <v>225</v>
      </c>
      <c r="L6" s="38" t="s">
        <v>226</v>
      </c>
      <c r="M6" s="38" t="s">
        <v>227</v>
      </c>
      <c r="N6" s="38" t="s">
        <v>228</v>
      </c>
      <c r="O6" s="38" t="s">
        <v>194</v>
      </c>
    </row>
    <row r="7" ht="33.75" customHeight="1">
      <c r="A7" s="35">
        <v>1.0</v>
      </c>
      <c r="B7" s="35" t="s">
        <v>229</v>
      </c>
      <c r="C7" s="35" t="s">
        <v>230</v>
      </c>
      <c r="D7" s="35" t="s">
        <v>231</v>
      </c>
      <c r="E7" s="35" t="s">
        <v>232</v>
      </c>
      <c r="F7" s="35">
        <v>5.0</v>
      </c>
      <c r="G7" s="35"/>
      <c r="H7" s="39" t="str">
        <f t="shared" ref="H7:H26" si="1">IF(G7="","",G7/F7)</f>
        <v/>
      </c>
      <c r="I7" s="35" t="s">
        <v>142</v>
      </c>
      <c r="J7" s="35" t="s">
        <v>170</v>
      </c>
      <c r="K7" s="35"/>
      <c r="L7" s="35"/>
      <c r="M7" s="35"/>
      <c r="N7" s="35" t="s">
        <v>37</v>
      </c>
      <c r="O7" s="35"/>
    </row>
    <row r="8" ht="33.75" customHeight="1">
      <c r="A8" s="35">
        <v>2.0</v>
      </c>
      <c r="B8" s="35" t="s">
        <v>229</v>
      </c>
      <c r="C8" s="35" t="s">
        <v>233</v>
      </c>
      <c r="D8" s="35" t="s">
        <v>234</v>
      </c>
      <c r="E8" s="35" t="s">
        <v>235</v>
      </c>
      <c r="F8" s="35">
        <v>5.0</v>
      </c>
      <c r="G8" s="35"/>
      <c r="H8" s="39" t="str">
        <f t="shared" si="1"/>
        <v/>
      </c>
      <c r="I8" s="35" t="s">
        <v>166</v>
      </c>
      <c r="J8" s="35" t="s">
        <v>191</v>
      </c>
      <c r="K8" s="35"/>
      <c r="L8" s="35"/>
      <c r="M8" s="35"/>
      <c r="N8" s="35" t="s">
        <v>37</v>
      </c>
      <c r="O8" s="35"/>
    </row>
    <row r="9" ht="33.75" customHeight="1">
      <c r="A9" s="35">
        <v>3.0</v>
      </c>
      <c r="B9" s="35" t="s">
        <v>229</v>
      </c>
      <c r="C9" s="35" t="s">
        <v>236</v>
      </c>
      <c r="D9" s="35" t="s">
        <v>237</v>
      </c>
      <c r="E9" s="35" t="s">
        <v>238</v>
      </c>
      <c r="F9" s="35">
        <v>5.0</v>
      </c>
      <c r="G9" s="35"/>
      <c r="H9" s="39" t="str">
        <f t="shared" si="1"/>
        <v/>
      </c>
      <c r="I9" s="35" t="s">
        <v>166</v>
      </c>
      <c r="J9" s="35" t="s">
        <v>191</v>
      </c>
      <c r="K9" s="35"/>
      <c r="L9" s="35"/>
      <c r="M9" s="35"/>
      <c r="N9" s="35" t="s">
        <v>37</v>
      </c>
      <c r="O9" s="35"/>
    </row>
    <row r="10" ht="33.75" customHeight="1">
      <c r="A10" s="35">
        <v>4.0</v>
      </c>
      <c r="B10" s="35" t="s">
        <v>239</v>
      </c>
      <c r="C10" s="35" t="s">
        <v>240</v>
      </c>
      <c r="D10" s="35" t="s">
        <v>241</v>
      </c>
      <c r="E10" s="35" t="s">
        <v>242</v>
      </c>
      <c r="F10" s="35">
        <v>5.0</v>
      </c>
      <c r="G10" s="35"/>
      <c r="H10" s="39" t="str">
        <f t="shared" si="1"/>
        <v/>
      </c>
      <c r="I10" s="35" t="s">
        <v>146</v>
      </c>
      <c r="J10" s="35" t="s">
        <v>173</v>
      </c>
      <c r="K10" s="35"/>
      <c r="L10" s="35"/>
      <c r="M10" s="35"/>
      <c r="N10" s="35" t="s">
        <v>37</v>
      </c>
      <c r="O10" s="35"/>
    </row>
    <row r="11" ht="33.75" customHeight="1">
      <c r="A11" s="35">
        <v>5.0</v>
      </c>
      <c r="B11" s="35" t="s">
        <v>239</v>
      </c>
      <c r="C11" s="35" t="s">
        <v>240</v>
      </c>
      <c r="D11" s="35" t="s">
        <v>243</v>
      </c>
      <c r="E11" s="35" t="s">
        <v>244</v>
      </c>
      <c r="F11" s="35">
        <v>5.0</v>
      </c>
      <c r="G11" s="35"/>
      <c r="H11" s="39" t="str">
        <f t="shared" si="1"/>
        <v/>
      </c>
      <c r="I11" s="35" t="s">
        <v>146</v>
      </c>
      <c r="J11" s="35" t="s">
        <v>173</v>
      </c>
      <c r="K11" s="35"/>
      <c r="L11" s="35"/>
      <c r="M11" s="35"/>
      <c r="N11" s="35" t="s">
        <v>37</v>
      </c>
      <c r="O11" s="35"/>
    </row>
    <row r="12" ht="33.75" customHeight="1">
      <c r="A12" s="35">
        <v>6.0</v>
      </c>
      <c r="B12" s="35" t="s">
        <v>245</v>
      </c>
      <c r="C12" s="35" t="s">
        <v>246</v>
      </c>
      <c r="D12" s="35" t="s">
        <v>247</v>
      </c>
      <c r="E12" s="35" t="s">
        <v>248</v>
      </c>
      <c r="F12" s="35">
        <v>5.0</v>
      </c>
      <c r="G12" s="35"/>
      <c r="H12" s="39" t="str">
        <f t="shared" si="1"/>
        <v/>
      </c>
      <c r="I12" s="35" t="s">
        <v>142</v>
      </c>
      <c r="J12" s="35" t="s">
        <v>179</v>
      </c>
      <c r="K12" s="35"/>
      <c r="L12" s="35"/>
      <c r="M12" s="35"/>
      <c r="N12" s="35" t="s">
        <v>37</v>
      </c>
      <c r="O12" s="35"/>
    </row>
    <row r="13" ht="33.75" customHeight="1">
      <c r="A13" s="35">
        <v>7.0</v>
      </c>
      <c r="B13" s="35" t="s">
        <v>245</v>
      </c>
      <c r="C13" s="35" t="s">
        <v>246</v>
      </c>
      <c r="D13" s="35" t="s">
        <v>249</v>
      </c>
      <c r="E13" s="35" t="s">
        <v>250</v>
      </c>
      <c r="F13" s="35">
        <v>5.0</v>
      </c>
      <c r="G13" s="35"/>
      <c r="H13" s="39" t="str">
        <f t="shared" si="1"/>
        <v/>
      </c>
      <c r="I13" s="35" t="s">
        <v>142</v>
      </c>
      <c r="J13" s="35" t="s">
        <v>179</v>
      </c>
      <c r="K13" s="35"/>
      <c r="L13" s="35"/>
      <c r="M13" s="35"/>
      <c r="N13" s="35" t="s">
        <v>37</v>
      </c>
      <c r="O13" s="35"/>
    </row>
    <row r="14" ht="33.75" customHeight="1">
      <c r="A14" s="35">
        <v>8.0</v>
      </c>
      <c r="B14" s="35" t="s">
        <v>251</v>
      </c>
      <c r="C14" s="35" t="s">
        <v>252</v>
      </c>
      <c r="D14" s="35" t="s">
        <v>253</v>
      </c>
      <c r="E14" s="35" t="s">
        <v>254</v>
      </c>
      <c r="F14" s="35">
        <v>5.0</v>
      </c>
      <c r="G14" s="35"/>
      <c r="H14" s="39" t="str">
        <f t="shared" si="1"/>
        <v/>
      </c>
      <c r="I14" s="35" t="s">
        <v>157</v>
      </c>
      <c r="J14" s="35" t="s">
        <v>179</v>
      </c>
      <c r="K14" s="35"/>
      <c r="L14" s="35"/>
      <c r="M14" s="35"/>
      <c r="N14" s="35" t="s">
        <v>37</v>
      </c>
      <c r="O14" s="35"/>
    </row>
    <row r="15" ht="33.75" customHeight="1">
      <c r="A15" s="35">
        <v>9.0</v>
      </c>
      <c r="B15" s="35" t="s">
        <v>251</v>
      </c>
      <c r="C15" s="35" t="s">
        <v>252</v>
      </c>
      <c r="D15" s="35" t="s">
        <v>255</v>
      </c>
      <c r="E15" s="35" t="s">
        <v>256</v>
      </c>
      <c r="F15" s="35">
        <v>5.0</v>
      </c>
      <c r="G15" s="35"/>
      <c r="H15" s="39" t="str">
        <f t="shared" si="1"/>
        <v/>
      </c>
      <c r="I15" s="35" t="s">
        <v>157</v>
      </c>
      <c r="J15" s="35" t="s">
        <v>179</v>
      </c>
      <c r="K15" s="35"/>
      <c r="L15" s="35"/>
      <c r="M15" s="35"/>
      <c r="N15" s="35" t="s">
        <v>37</v>
      </c>
      <c r="O15" s="35"/>
    </row>
    <row r="16" ht="33.75" customHeight="1">
      <c r="A16" s="35">
        <v>10.0</v>
      </c>
      <c r="B16" s="35" t="s">
        <v>257</v>
      </c>
      <c r="C16" s="35" t="s">
        <v>258</v>
      </c>
      <c r="D16" s="35" t="s">
        <v>259</v>
      </c>
      <c r="E16" s="35" t="s">
        <v>260</v>
      </c>
      <c r="F16" s="35">
        <v>5.0</v>
      </c>
      <c r="G16" s="35"/>
      <c r="H16" s="39" t="str">
        <f t="shared" si="1"/>
        <v/>
      </c>
      <c r="I16" s="35" t="s">
        <v>150</v>
      </c>
      <c r="J16" s="35" t="s">
        <v>182</v>
      </c>
      <c r="K16" s="35"/>
      <c r="L16" s="35"/>
      <c r="M16" s="35"/>
      <c r="N16" s="35" t="s">
        <v>37</v>
      </c>
      <c r="O16" s="35"/>
    </row>
    <row r="17" ht="33.75" customHeight="1">
      <c r="A17" s="35">
        <v>11.0</v>
      </c>
      <c r="B17" s="35" t="s">
        <v>257</v>
      </c>
      <c r="C17" s="35" t="s">
        <v>258</v>
      </c>
      <c r="D17" s="35" t="s">
        <v>261</v>
      </c>
      <c r="E17" s="35" t="s">
        <v>262</v>
      </c>
      <c r="F17" s="35">
        <v>5.0</v>
      </c>
      <c r="G17" s="35"/>
      <c r="H17" s="39" t="str">
        <f t="shared" si="1"/>
        <v/>
      </c>
      <c r="I17" s="35" t="s">
        <v>150</v>
      </c>
      <c r="J17" s="35" t="s">
        <v>182</v>
      </c>
      <c r="K17" s="35"/>
      <c r="L17" s="35"/>
      <c r="M17" s="35"/>
      <c r="N17" s="35" t="s">
        <v>37</v>
      </c>
      <c r="O17" s="35"/>
    </row>
    <row r="18" ht="33.75" customHeight="1">
      <c r="A18" s="35">
        <v>12.0</v>
      </c>
      <c r="B18" s="35" t="s">
        <v>263</v>
      </c>
      <c r="C18" s="35" t="s">
        <v>264</v>
      </c>
      <c r="D18" s="35" t="s">
        <v>265</v>
      </c>
      <c r="E18" s="35" t="s">
        <v>266</v>
      </c>
      <c r="F18" s="35">
        <v>5.0</v>
      </c>
      <c r="G18" s="35"/>
      <c r="H18" s="39" t="str">
        <f t="shared" si="1"/>
        <v/>
      </c>
      <c r="I18" s="35" t="s">
        <v>150</v>
      </c>
      <c r="J18" s="35" t="s">
        <v>182</v>
      </c>
      <c r="K18" s="35"/>
      <c r="L18" s="35"/>
      <c r="M18" s="35"/>
      <c r="N18" s="35" t="s">
        <v>37</v>
      </c>
      <c r="O18" s="35"/>
    </row>
    <row r="19" ht="33.75" customHeight="1">
      <c r="A19" s="35">
        <v>13.0</v>
      </c>
      <c r="B19" s="35" t="s">
        <v>263</v>
      </c>
      <c r="C19" s="35" t="s">
        <v>267</v>
      </c>
      <c r="D19" s="35" t="s">
        <v>268</v>
      </c>
      <c r="E19" s="35" t="s">
        <v>269</v>
      </c>
      <c r="F19" s="35">
        <v>5.0</v>
      </c>
      <c r="G19" s="35"/>
      <c r="H19" s="39" t="str">
        <f t="shared" si="1"/>
        <v/>
      </c>
      <c r="I19" s="35" t="s">
        <v>160</v>
      </c>
      <c r="J19" s="35" t="s">
        <v>188</v>
      </c>
      <c r="K19" s="35"/>
      <c r="L19" s="35"/>
      <c r="M19" s="35"/>
      <c r="N19" s="35" t="s">
        <v>37</v>
      </c>
      <c r="O19" s="35"/>
    </row>
    <row r="20" ht="33.75" customHeight="1">
      <c r="A20" s="35">
        <v>14.0</v>
      </c>
      <c r="B20" s="35" t="s">
        <v>270</v>
      </c>
      <c r="C20" s="35" t="s">
        <v>271</v>
      </c>
      <c r="D20" s="35" t="s">
        <v>272</v>
      </c>
      <c r="E20" s="35" t="s">
        <v>273</v>
      </c>
      <c r="F20" s="35">
        <v>5.0</v>
      </c>
      <c r="G20" s="35"/>
      <c r="H20" s="39" t="str">
        <f t="shared" si="1"/>
        <v/>
      </c>
      <c r="I20" s="35" t="s">
        <v>146</v>
      </c>
      <c r="J20" s="35" t="s">
        <v>188</v>
      </c>
      <c r="K20" s="35"/>
      <c r="L20" s="35"/>
      <c r="M20" s="35"/>
      <c r="N20" s="35" t="s">
        <v>37</v>
      </c>
      <c r="O20" s="35"/>
    </row>
    <row r="21" ht="33.75" customHeight="1">
      <c r="A21" s="35">
        <v>15.0</v>
      </c>
      <c r="B21" s="35" t="s">
        <v>270</v>
      </c>
      <c r="C21" s="35" t="s">
        <v>246</v>
      </c>
      <c r="D21" s="35" t="s">
        <v>274</v>
      </c>
      <c r="E21" s="35" t="s">
        <v>275</v>
      </c>
      <c r="F21" s="35">
        <v>5.0</v>
      </c>
      <c r="G21" s="35"/>
      <c r="H21" s="39" t="str">
        <f t="shared" si="1"/>
        <v/>
      </c>
      <c r="I21" s="35" t="s">
        <v>142</v>
      </c>
      <c r="J21" s="35" t="s">
        <v>179</v>
      </c>
      <c r="K21" s="35"/>
      <c r="L21" s="35"/>
      <c r="M21" s="35"/>
      <c r="N21" s="35" t="s">
        <v>37</v>
      </c>
      <c r="O21" s="35"/>
    </row>
    <row r="22" ht="33.75" customHeight="1">
      <c r="A22" s="35">
        <v>16.0</v>
      </c>
      <c r="B22" s="35" t="s">
        <v>276</v>
      </c>
      <c r="C22" s="35" t="s">
        <v>271</v>
      </c>
      <c r="D22" s="35" t="s">
        <v>332</v>
      </c>
      <c r="E22" s="35" t="s">
        <v>333</v>
      </c>
      <c r="F22" s="35">
        <v>5.0</v>
      </c>
      <c r="G22" s="35"/>
      <c r="H22" s="39" t="str">
        <f t="shared" si="1"/>
        <v/>
      </c>
      <c r="I22" s="35" t="s">
        <v>146</v>
      </c>
      <c r="J22" s="35" t="s">
        <v>188</v>
      </c>
      <c r="K22" s="35"/>
      <c r="L22" s="35"/>
      <c r="M22" s="35"/>
      <c r="N22" s="35" t="s">
        <v>37</v>
      </c>
      <c r="O22" s="35"/>
    </row>
    <row r="23" ht="33.75" customHeight="1">
      <c r="A23" s="35">
        <v>17.0</v>
      </c>
      <c r="B23" s="35" t="s">
        <v>276</v>
      </c>
      <c r="C23" s="35" t="s">
        <v>271</v>
      </c>
      <c r="D23" s="35" t="s">
        <v>334</v>
      </c>
      <c r="E23" s="35" t="s">
        <v>335</v>
      </c>
      <c r="F23" s="35">
        <v>5.0</v>
      </c>
      <c r="G23" s="35"/>
      <c r="H23" s="39" t="str">
        <f t="shared" si="1"/>
        <v/>
      </c>
      <c r="I23" s="35" t="s">
        <v>146</v>
      </c>
      <c r="J23" s="35" t="s">
        <v>188</v>
      </c>
      <c r="K23" s="35"/>
      <c r="L23" s="35"/>
      <c r="M23" s="35"/>
      <c r="N23" s="35" t="s">
        <v>37</v>
      </c>
      <c r="O23" s="35"/>
    </row>
    <row r="24" ht="33.75" customHeight="1">
      <c r="A24" s="35">
        <v>18.0</v>
      </c>
      <c r="B24" s="35" t="s">
        <v>276</v>
      </c>
      <c r="C24" s="35" t="s">
        <v>271</v>
      </c>
      <c r="D24" s="35" t="s">
        <v>336</v>
      </c>
      <c r="E24" s="35" t="s">
        <v>337</v>
      </c>
      <c r="F24" s="35">
        <v>5.0</v>
      </c>
      <c r="G24" s="35"/>
      <c r="H24" s="39" t="str">
        <f t="shared" si="1"/>
        <v/>
      </c>
      <c r="I24" s="35" t="s">
        <v>146</v>
      </c>
      <c r="J24" s="35" t="s">
        <v>188</v>
      </c>
      <c r="K24" s="35"/>
      <c r="L24" s="35"/>
      <c r="M24" s="35"/>
      <c r="N24" s="35" t="s">
        <v>37</v>
      </c>
      <c r="O24" s="35"/>
    </row>
    <row r="25" ht="33.75" customHeight="1">
      <c r="A25" s="35">
        <v>19.0</v>
      </c>
      <c r="B25" s="35" t="s">
        <v>276</v>
      </c>
      <c r="C25" s="35" t="s">
        <v>246</v>
      </c>
      <c r="D25" s="35" t="s">
        <v>338</v>
      </c>
      <c r="E25" s="35" t="s">
        <v>339</v>
      </c>
      <c r="F25" s="35">
        <v>5.0</v>
      </c>
      <c r="G25" s="35"/>
      <c r="H25" s="39" t="str">
        <f t="shared" si="1"/>
        <v/>
      </c>
      <c r="I25" s="35" t="s">
        <v>142</v>
      </c>
      <c r="J25" s="35" t="s">
        <v>179</v>
      </c>
      <c r="K25" s="35"/>
      <c r="L25" s="35"/>
      <c r="M25" s="35"/>
      <c r="N25" s="35" t="s">
        <v>37</v>
      </c>
      <c r="O25" s="35"/>
    </row>
    <row r="26" ht="33.75" customHeight="1">
      <c r="A26" s="35">
        <v>20.0</v>
      </c>
      <c r="B26" s="35" t="s">
        <v>276</v>
      </c>
      <c r="C26" s="35" t="s">
        <v>267</v>
      </c>
      <c r="D26" s="35" t="s">
        <v>340</v>
      </c>
      <c r="E26" s="35" t="s">
        <v>341</v>
      </c>
      <c r="F26" s="35">
        <v>5.0</v>
      </c>
      <c r="G26" s="35"/>
      <c r="H26" s="39" t="str">
        <f t="shared" si="1"/>
        <v/>
      </c>
      <c r="I26" s="35" t="s">
        <v>160</v>
      </c>
      <c r="J26" s="35" t="s">
        <v>188</v>
      </c>
      <c r="K26" s="35"/>
      <c r="L26" s="35"/>
      <c r="M26" s="35"/>
      <c r="N26" s="35" t="s">
        <v>37</v>
      </c>
      <c r="O26" s="35"/>
    </row>
    <row r="27" ht="33.75" customHeight="1"/>
    <row r="28" ht="33.75" customHeight="1">
      <c r="A28" s="40" t="s">
        <v>289</v>
      </c>
      <c r="G28" s="40">
        <f>SUM(G7:G26)</f>
        <v>0</v>
      </c>
      <c r="H28" s="41">
        <f>G28/100</f>
        <v>0</v>
      </c>
      <c r="I28" s="40" t="str">
        <f>IF(G28&gt;=90,"Tốt",IF(G28&gt;=80,"Khá",IF(G28&gt;=65,"Đạt","Chưa đạt")))</f>
        <v>Chưa đạt</v>
      </c>
    </row>
    <row r="29" ht="33.75" customHeight="1"/>
    <row r="30" ht="33.75" customHeight="1">
      <c r="A30" s="42" t="s">
        <v>290</v>
      </c>
    </row>
    <row r="31" ht="33.75" customHeight="1"/>
    <row r="32" ht="33.75" customHeight="1">
      <c r="A32" s="43" t="s">
        <v>291</v>
      </c>
      <c r="D32" s="43"/>
      <c r="E32" s="43"/>
      <c r="F32" s="43"/>
      <c r="G32" s="43" t="s">
        <v>292</v>
      </c>
      <c r="J32" s="43"/>
      <c r="K32" s="43"/>
      <c r="L32" s="43"/>
      <c r="M32" s="43" t="s">
        <v>293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O1"/>
    <mergeCell ref="A2:O2"/>
    <mergeCell ref="A28:F28"/>
    <mergeCell ref="I28:J28"/>
    <mergeCell ref="A30:O30"/>
    <mergeCell ref="A32:C32"/>
    <mergeCell ref="G32:I32"/>
    <mergeCell ref="M32:O32"/>
  </mergeCells>
  <dataValidations>
    <dataValidation type="decimal" allowBlank="1" sqref="G7:G26">
      <formula1>0.0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8.0"/>
    <col customWidth="1" min="3" max="3" width="20.0"/>
    <col customWidth="1" min="4" max="4" width="52.0"/>
    <col customWidth="1" min="5" max="5" width="38.0"/>
    <col customWidth="1" min="6" max="8" width="10.0"/>
    <col customWidth="1" min="9" max="10" width="22.0"/>
    <col customWidth="1" min="11" max="12" width="32.0"/>
    <col customWidth="1" min="13" max="13" width="14.0"/>
    <col customWidth="1" min="14" max="14" width="22.0"/>
    <col customWidth="1" min="15" max="15" width="20.0"/>
  </cols>
  <sheetData>
    <row r="1" ht="24.0" customHeight="1">
      <c r="A1" s="36" t="s">
        <v>342</v>
      </c>
    </row>
    <row r="2" ht="24.0" customHeight="1">
      <c r="A2" s="37" t="s">
        <v>343</v>
      </c>
    </row>
    <row r="3" ht="33.75" customHeight="1">
      <c r="A3" s="34" t="s">
        <v>211</v>
      </c>
      <c r="B3" s="34" t="s">
        <v>212</v>
      </c>
      <c r="C3" s="34" t="s">
        <v>213</v>
      </c>
    </row>
    <row r="4" ht="33.75" customHeight="1">
      <c r="A4" s="35" t="s">
        <v>214</v>
      </c>
      <c r="B4" s="35" t="s">
        <v>31</v>
      </c>
      <c r="C4" s="35" t="s">
        <v>215</v>
      </c>
    </row>
    <row r="5" ht="33.75" customHeight="1"/>
    <row r="6" ht="33.75" customHeight="1">
      <c r="A6" s="38" t="s">
        <v>20</v>
      </c>
      <c r="B6" s="38" t="s">
        <v>216</v>
      </c>
      <c r="C6" s="38" t="s">
        <v>217</v>
      </c>
      <c r="D6" s="38" t="s">
        <v>218</v>
      </c>
      <c r="E6" s="38" t="s">
        <v>219</v>
      </c>
      <c r="F6" s="38" t="s">
        <v>220</v>
      </c>
      <c r="G6" s="38" t="s">
        <v>221</v>
      </c>
      <c r="H6" s="38" t="s">
        <v>222</v>
      </c>
      <c r="I6" s="38" t="s">
        <v>223</v>
      </c>
      <c r="J6" s="38" t="s">
        <v>224</v>
      </c>
      <c r="K6" s="38" t="s">
        <v>225</v>
      </c>
      <c r="L6" s="38" t="s">
        <v>226</v>
      </c>
      <c r="M6" s="38" t="s">
        <v>227</v>
      </c>
      <c r="N6" s="38" t="s">
        <v>228</v>
      </c>
      <c r="O6" s="38" t="s">
        <v>194</v>
      </c>
    </row>
    <row r="7" ht="33.75" customHeight="1">
      <c r="A7" s="35">
        <v>1.0</v>
      </c>
      <c r="B7" s="35" t="s">
        <v>229</v>
      </c>
      <c r="C7" s="35" t="s">
        <v>230</v>
      </c>
      <c r="D7" s="35" t="s">
        <v>231</v>
      </c>
      <c r="E7" s="35" t="s">
        <v>232</v>
      </c>
      <c r="F7" s="35">
        <v>5.0</v>
      </c>
      <c r="G7" s="35"/>
      <c r="H7" s="39" t="str">
        <f t="shared" ref="H7:H26" si="1">IF(G7="","",G7/F7)</f>
        <v/>
      </c>
      <c r="I7" s="35" t="s">
        <v>142</v>
      </c>
      <c r="J7" s="35" t="s">
        <v>170</v>
      </c>
      <c r="K7" s="35"/>
      <c r="L7" s="35"/>
      <c r="M7" s="35"/>
      <c r="N7" s="35" t="s">
        <v>31</v>
      </c>
      <c r="O7" s="35"/>
    </row>
    <row r="8" ht="33.75" customHeight="1">
      <c r="A8" s="35">
        <v>2.0</v>
      </c>
      <c r="B8" s="35" t="s">
        <v>229</v>
      </c>
      <c r="C8" s="35" t="s">
        <v>233</v>
      </c>
      <c r="D8" s="35" t="s">
        <v>234</v>
      </c>
      <c r="E8" s="35" t="s">
        <v>235</v>
      </c>
      <c r="F8" s="35">
        <v>5.0</v>
      </c>
      <c r="G8" s="35"/>
      <c r="H8" s="39" t="str">
        <f t="shared" si="1"/>
        <v/>
      </c>
      <c r="I8" s="35" t="s">
        <v>166</v>
      </c>
      <c r="J8" s="35" t="s">
        <v>191</v>
      </c>
      <c r="K8" s="35"/>
      <c r="L8" s="35"/>
      <c r="M8" s="35"/>
      <c r="N8" s="35" t="s">
        <v>31</v>
      </c>
      <c r="O8" s="35"/>
    </row>
    <row r="9" ht="33.75" customHeight="1">
      <c r="A9" s="35">
        <v>3.0</v>
      </c>
      <c r="B9" s="35" t="s">
        <v>229</v>
      </c>
      <c r="C9" s="35" t="s">
        <v>236</v>
      </c>
      <c r="D9" s="35" t="s">
        <v>237</v>
      </c>
      <c r="E9" s="35" t="s">
        <v>238</v>
      </c>
      <c r="F9" s="35">
        <v>5.0</v>
      </c>
      <c r="G9" s="35"/>
      <c r="H9" s="39" t="str">
        <f t="shared" si="1"/>
        <v/>
      </c>
      <c r="I9" s="35" t="s">
        <v>166</v>
      </c>
      <c r="J9" s="35" t="s">
        <v>191</v>
      </c>
      <c r="K9" s="35"/>
      <c r="L9" s="35"/>
      <c r="M9" s="35"/>
      <c r="N9" s="35" t="s">
        <v>31</v>
      </c>
      <c r="O9" s="35"/>
    </row>
    <row r="10" ht="33.75" customHeight="1">
      <c r="A10" s="35">
        <v>4.0</v>
      </c>
      <c r="B10" s="35" t="s">
        <v>239</v>
      </c>
      <c r="C10" s="35" t="s">
        <v>240</v>
      </c>
      <c r="D10" s="35" t="s">
        <v>241</v>
      </c>
      <c r="E10" s="35" t="s">
        <v>242</v>
      </c>
      <c r="F10" s="35">
        <v>5.0</v>
      </c>
      <c r="G10" s="35"/>
      <c r="H10" s="39" t="str">
        <f t="shared" si="1"/>
        <v/>
      </c>
      <c r="I10" s="35" t="s">
        <v>146</v>
      </c>
      <c r="J10" s="35" t="s">
        <v>173</v>
      </c>
      <c r="K10" s="35"/>
      <c r="L10" s="35"/>
      <c r="M10" s="35"/>
      <c r="N10" s="35" t="s">
        <v>31</v>
      </c>
      <c r="O10" s="35"/>
    </row>
    <row r="11" ht="33.75" customHeight="1">
      <c r="A11" s="35">
        <v>5.0</v>
      </c>
      <c r="B11" s="35" t="s">
        <v>239</v>
      </c>
      <c r="C11" s="35" t="s">
        <v>240</v>
      </c>
      <c r="D11" s="35" t="s">
        <v>243</v>
      </c>
      <c r="E11" s="35" t="s">
        <v>244</v>
      </c>
      <c r="F11" s="35">
        <v>5.0</v>
      </c>
      <c r="G11" s="35"/>
      <c r="H11" s="39" t="str">
        <f t="shared" si="1"/>
        <v/>
      </c>
      <c r="I11" s="35" t="s">
        <v>146</v>
      </c>
      <c r="J11" s="35" t="s">
        <v>173</v>
      </c>
      <c r="K11" s="35"/>
      <c r="L11" s="35"/>
      <c r="M11" s="35"/>
      <c r="N11" s="35" t="s">
        <v>31</v>
      </c>
      <c r="O11" s="35"/>
    </row>
    <row r="12" ht="33.75" customHeight="1">
      <c r="A12" s="35">
        <v>6.0</v>
      </c>
      <c r="B12" s="35" t="s">
        <v>245</v>
      </c>
      <c r="C12" s="35" t="s">
        <v>246</v>
      </c>
      <c r="D12" s="35" t="s">
        <v>247</v>
      </c>
      <c r="E12" s="35" t="s">
        <v>248</v>
      </c>
      <c r="F12" s="35">
        <v>5.0</v>
      </c>
      <c r="G12" s="35"/>
      <c r="H12" s="39" t="str">
        <f t="shared" si="1"/>
        <v/>
      </c>
      <c r="I12" s="35" t="s">
        <v>142</v>
      </c>
      <c r="J12" s="35" t="s">
        <v>179</v>
      </c>
      <c r="K12" s="35"/>
      <c r="L12" s="35"/>
      <c r="M12" s="35"/>
      <c r="N12" s="35" t="s">
        <v>31</v>
      </c>
      <c r="O12" s="35"/>
    </row>
    <row r="13" ht="33.75" customHeight="1">
      <c r="A13" s="35">
        <v>7.0</v>
      </c>
      <c r="B13" s="35" t="s">
        <v>245</v>
      </c>
      <c r="C13" s="35" t="s">
        <v>246</v>
      </c>
      <c r="D13" s="35" t="s">
        <v>249</v>
      </c>
      <c r="E13" s="35" t="s">
        <v>250</v>
      </c>
      <c r="F13" s="35">
        <v>5.0</v>
      </c>
      <c r="G13" s="35"/>
      <c r="H13" s="39" t="str">
        <f t="shared" si="1"/>
        <v/>
      </c>
      <c r="I13" s="35" t="s">
        <v>142</v>
      </c>
      <c r="J13" s="35" t="s">
        <v>179</v>
      </c>
      <c r="K13" s="35"/>
      <c r="L13" s="35"/>
      <c r="M13" s="35"/>
      <c r="N13" s="35" t="s">
        <v>31</v>
      </c>
      <c r="O13" s="35"/>
    </row>
    <row r="14" ht="33.75" customHeight="1">
      <c r="A14" s="35">
        <v>8.0</v>
      </c>
      <c r="B14" s="35" t="s">
        <v>251</v>
      </c>
      <c r="C14" s="35" t="s">
        <v>252</v>
      </c>
      <c r="D14" s="35" t="s">
        <v>253</v>
      </c>
      <c r="E14" s="35" t="s">
        <v>254</v>
      </c>
      <c r="F14" s="35">
        <v>5.0</v>
      </c>
      <c r="G14" s="35"/>
      <c r="H14" s="39" t="str">
        <f t="shared" si="1"/>
        <v/>
      </c>
      <c r="I14" s="35" t="s">
        <v>157</v>
      </c>
      <c r="J14" s="35" t="s">
        <v>179</v>
      </c>
      <c r="K14" s="35"/>
      <c r="L14" s="35"/>
      <c r="M14" s="35"/>
      <c r="N14" s="35" t="s">
        <v>31</v>
      </c>
      <c r="O14" s="35"/>
    </row>
    <row r="15" ht="33.75" customHeight="1">
      <c r="A15" s="35">
        <v>9.0</v>
      </c>
      <c r="B15" s="35" t="s">
        <v>251</v>
      </c>
      <c r="C15" s="35" t="s">
        <v>252</v>
      </c>
      <c r="D15" s="35" t="s">
        <v>255</v>
      </c>
      <c r="E15" s="35" t="s">
        <v>256</v>
      </c>
      <c r="F15" s="35">
        <v>5.0</v>
      </c>
      <c r="G15" s="35"/>
      <c r="H15" s="39" t="str">
        <f t="shared" si="1"/>
        <v/>
      </c>
      <c r="I15" s="35" t="s">
        <v>157</v>
      </c>
      <c r="J15" s="35" t="s">
        <v>179</v>
      </c>
      <c r="K15" s="35"/>
      <c r="L15" s="35"/>
      <c r="M15" s="35"/>
      <c r="N15" s="35" t="s">
        <v>31</v>
      </c>
      <c r="O15" s="35"/>
    </row>
    <row r="16" ht="33.75" customHeight="1">
      <c r="A16" s="35">
        <v>10.0</v>
      </c>
      <c r="B16" s="35" t="s">
        <v>257</v>
      </c>
      <c r="C16" s="35" t="s">
        <v>258</v>
      </c>
      <c r="D16" s="35" t="s">
        <v>259</v>
      </c>
      <c r="E16" s="35" t="s">
        <v>260</v>
      </c>
      <c r="F16" s="35">
        <v>5.0</v>
      </c>
      <c r="G16" s="35"/>
      <c r="H16" s="39" t="str">
        <f t="shared" si="1"/>
        <v/>
      </c>
      <c r="I16" s="35" t="s">
        <v>150</v>
      </c>
      <c r="J16" s="35" t="s">
        <v>182</v>
      </c>
      <c r="K16" s="35"/>
      <c r="L16" s="35"/>
      <c r="M16" s="35"/>
      <c r="N16" s="35" t="s">
        <v>31</v>
      </c>
      <c r="O16" s="35"/>
    </row>
    <row r="17" ht="33.75" customHeight="1">
      <c r="A17" s="35">
        <v>11.0</v>
      </c>
      <c r="B17" s="35" t="s">
        <v>257</v>
      </c>
      <c r="C17" s="35" t="s">
        <v>258</v>
      </c>
      <c r="D17" s="35" t="s">
        <v>261</v>
      </c>
      <c r="E17" s="35" t="s">
        <v>262</v>
      </c>
      <c r="F17" s="35">
        <v>5.0</v>
      </c>
      <c r="G17" s="35"/>
      <c r="H17" s="39" t="str">
        <f t="shared" si="1"/>
        <v/>
      </c>
      <c r="I17" s="35" t="s">
        <v>150</v>
      </c>
      <c r="J17" s="35" t="s">
        <v>182</v>
      </c>
      <c r="K17" s="35"/>
      <c r="L17" s="35"/>
      <c r="M17" s="35"/>
      <c r="N17" s="35" t="s">
        <v>31</v>
      </c>
      <c r="O17" s="35"/>
    </row>
    <row r="18" ht="33.75" customHeight="1">
      <c r="A18" s="35">
        <v>12.0</v>
      </c>
      <c r="B18" s="35" t="s">
        <v>263</v>
      </c>
      <c r="C18" s="35" t="s">
        <v>264</v>
      </c>
      <c r="D18" s="35" t="s">
        <v>265</v>
      </c>
      <c r="E18" s="35" t="s">
        <v>266</v>
      </c>
      <c r="F18" s="35">
        <v>5.0</v>
      </c>
      <c r="G18" s="35"/>
      <c r="H18" s="39" t="str">
        <f t="shared" si="1"/>
        <v/>
      </c>
      <c r="I18" s="35" t="s">
        <v>150</v>
      </c>
      <c r="J18" s="35" t="s">
        <v>182</v>
      </c>
      <c r="K18" s="35"/>
      <c r="L18" s="35"/>
      <c r="M18" s="35"/>
      <c r="N18" s="35" t="s">
        <v>31</v>
      </c>
      <c r="O18" s="35"/>
    </row>
    <row r="19" ht="33.75" customHeight="1">
      <c r="A19" s="35">
        <v>13.0</v>
      </c>
      <c r="B19" s="35" t="s">
        <v>263</v>
      </c>
      <c r="C19" s="35" t="s">
        <v>267</v>
      </c>
      <c r="D19" s="35" t="s">
        <v>268</v>
      </c>
      <c r="E19" s="35" t="s">
        <v>269</v>
      </c>
      <c r="F19" s="35">
        <v>5.0</v>
      </c>
      <c r="G19" s="35"/>
      <c r="H19" s="39" t="str">
        <f t="shared" si="1"/>
        <v/>
      </c>
      <c r="I19" s="35" t="s">
        <v>160</v>
      </c>
      <c r="J19" s="35" t="s">
        <v>188</v>
      </c>
      <c r="K19" s="35"/>
      <c r="L19" s="35"/>
      <c r="M19" s="35"/>
      <c r="N19" s="35" t="s">
        <v>31</v>
      </c>
      <c r="O19" s="35"/>
    </row>
    <row r="20" ht="33.75" customHeight="1">
      <c r="A20" s="35">
        <v>14.0</v>
      </c>
      <c r="B20" s="35" t="s">
        <v>270</v>
      </c>
      <c r="C20" s="35" t="s">
        <v>271</v>
      </c>
      <c r="D20" s="35" t="s">
        <v>272</v>
      </c>
      <c r="E20" s="35" t="s">
        <v>273</v>
      </c>
      <c r="F20" s="35">
        <v>5.0</v>
      </c>
      <c r="G20" s="35"/>
      <c r="H20" s="39" t="str">
        <f t="shared" si="1"/>
        <v/>
      </c>
      <c r="I20" s="35" t="s">
        <v>146</v>
      </c>
      <c r="J20" s="35" t="s">
        <v>188</v>
      </c>
      <c r="K20" s="35"/>
      <c r="L20" s="35"/>
      <c r="M20" s="35"/>
      <c r="N20" s="35" t="s">
        <v>31</v>
      </c>
      <c r="O20" s="35"/>
    </row>
    <row r="21" ht="33.75" customHeight="1">
      <c r="A21" s="35">
        <v>15.0</v>
      </c>
      <c r="B21" s="35" t="s">
        <v>270</v>
      </c>
      <c r="C21" s="35" t="s">
        <v>246</v>
      </c>
      <c r="D21" s="35" t="s">
        <v>274</v>
      </c>
      <c r="E21" s="35" t="s">
        <v>275</v>
      </c>
      <c r="F21" s="35">
        <v>5.0</v>
      </c>
      <c r="G21" s="35"/>
      <c r="H21" s="39" t="str">
        <f t="shared" si="1"/>
        <v/>
      </c>
      <c r="I21" s="35" t="s">
        <v>142</v>
      </c>
      <c r="J21" s="35" t="s">
        <v>179</v>
      </c>
      <c r="K21" s="35"/>
      <c r="L21" s="35"/>
      <c r="M21" s="35"/>
      <c r="N21" s="35" t="s">
        <v>31</v>
      </c>
      <c r="O21" s="35"/>
    </row>
    <row r="22" ht="33.75" customHeight="1">
      <c r="A22" s="35">
        <v>16.0</v>
      </c>
      <c r="B22" s="35" t="s">
        <v>276</v>
      </c>
      <c r="C22" s="35" t="s">
        <v>233</v>
      </c>
      <c r="D22" s="35" t="s">
        <v>344</v>
      </c>
      <c r="E22" s="35" t="s">
        <v>345</v>
      </c>
      <c r="F22" s="35">
        <v>5.0</v>
      </c>
      <c r="G22" s="35"/>
      <c r="H22" s="39" t="str">
        <f t="shared" si="1"/>
        <v/>
      </c>
      <c r="I22" s="35" t="s">
        <v>166</v>
      </c>
      <c r="J22" s="35" t="s">
        <v>191</v>
      </c>
      <c r="K22" s="35"/>
      <c r="L22" s="35"/>
      <c r="M22" s="35"/>
      <c r="N22" s="35" t="s">
        <v>31</v>
      </c>
      <c r="O22" s="35"/>
    </row>
    <row r="23" ht="33.75" customHeight="1">
      <c r="A23" s="35">
        <v>17.0</v>
      </c>
      <c r="B23" s="35" t="s">
        <v>276</v>
      </c>
      <c r="C23" s="35" t="s">
        <v>258</v>
      </c>
      <c r="D23" s="35" t="s">
        <v>346</v>
      </c>
      <c r="E23" s="35" t="s">
        <v>347</v>
      </c>
      <c r="F23" s="35">
        <v>5.0</v>
      </c>
      <c r="G23" s="35"/>
      <c r="H23" s="39" t="str">
        <f t="shared" si="1"/>
        <v/>
      </c>
      <c r="I23" s="35" t="s">
        <v>150</v>
      </c>
      <c r="J23" s="35" t="s">
        <v>182</v>
      </c>
      <c r="K23" s="35"/>
      <c r="L23" s="35"/>
      <c r="M23" s="35"/>
      <c r="N23" s="35" t="s">
        <v>31</v>
      </c>
      <c r="O23" s="35"/>
    </row>
    <row r="24" ht="33.75" customHeight="1">
      <c r="A24" s="35">
        <v>18.0</v>
      </c>
      <c r="B24" s="35" t="s">
        <v>276</v>
      </c>
      <c r="C24" s="35" t="s">
        <v>258</v>
      </c>
      <c r="D24" s="35" t="s">
        <v>348</v>
      </c>
      <c r="E24" s="35" t="s">
        <v>349</v>
      </c>
      <c r="F24" s="35">
        <v>5.0</v>
      </c>
      <c r="G24" s="35"/>
      <c r="H24" s="39" t="str">
        <f t="shared" si="1"/>
        <v/>
      </c>
      <c r="I24" s="35" t="s">
        <v>150</v>
      </c>
      <c r="J24" s="35" t="s">
        <v>182</v>
      </c>
      <c r="K24" s="35"/>
      <c r="L24" s="35"/>
      <c r="M24" s="35"/>
      <c r="N24" s="35" t="s">
        <v>31</v>
      </c>
      <c r="O24" s="35"/>
    </row>
    <row r="25" ht="33.75" customHeight="1">
      <c r="A25" s="35">
        <v>19.0</v>
      </c>
      <c r="B25" s="35" t="s">
        <v>276</v>
      </c>
      <c r="C25" s="35" t="s">
        <v>252</v>
      </c>
      <c r="D25" s="35" t="s">
        <v>350</v>
      </c>
      <c r="E25" s="35" t="s">
        <v>351</v>
      </c>
      <c r="F25" s="35">
        <v>5.0</v>
      </c>
      <c r="G25" s="35"/>
      <c r="H25" s="39" t="str">
        <f t="shared" si="1"/>
        <v/>
      </c>
      <c r="I25" s="35" t="s">
        <v>157</v>
      </c>
      <c r="J25" s="35" t="s">
        <v>179</v>
      </c>
      <c r="K25" s="35"/>
      <c r="L25" s="35"/>
      <c r="M25" s="35"/>
      <c r="N25" s="35" t="s">
        <v>31</v>
      </c>
      <c r="O25" s="35"/>
    </row>
    <row r="26" ht="33.75" customHeight="1">
      <c r="A26" s="35">
        <v>20.0</v>
      </c>
      <c r="B26" s="35" t="s">
        <v>276</v>
      </c>
      <c r="C26" s="35" t="s">
        <v>246</v>
      </c>
      <c r="D26" s="35" t="s">
        <v>352</v>
      </c>
      <c r="E26" s="35" t="s">
        <v>353</v>
      </c>
      <c r="F26" s="35">
        <v>5.0</v>
      </c>
      <c r="G26" s="35"/>
      <c r="H26" s="39" t="str">
        <f t="shared" si="1"/>
        <v/>
      </c>
      <c r="I26" s="35" t="s">
        <v>142</v>
      </c>
      <c r="J26" s="35" t="s">
        <v>179</v>
      </c>
      <c r="K26" s="35"/>
      <c r="L26" s="35"/>
      <c r="M26" s="35"/>
      <c r="N26" s="35" t="s">
        <v>31</v>
      </c>
      <c r="O26" s="35"/>
    </row>
    <row r="27" ht="33.75" customHeight="1"/>
    <row r="28" ht="33.75" customHeight="1">
      <c r="A28" s="40" t="s">
        <v>289</v>
      </c>
      <c r="G28" s="40">
        <f>SUM(G7:G26)</f>
        <v>0</v>
      </c>
      <c r="H28" s="41">
        <f>G28/100</f>
        <v>0</v>
      </c>
      <c r="I28" s="40" t="str">
        <f>IF(G28&gt;=90,"Tốt",IF(G28&gt;=80,"Khá",IF(G28&gt;=65,"Đạt","Chưa đạt")))</f>
        <v>Chưa đạt</v>
      </c>
    </row>
    <row r="29" ht="33.75" customHeight="1"/>
    <row r="30" ht="33.75" customHeight="1">
      <c r="A30" s="42" t="s">
        <v>290</v>
      </c>
    </row>
    <row r="31" ht="33.75" customHeight="1"/>
    <row r="32" ht="33.75" customHeight="1">
      <c r="A32" s="43" t="s">
        <v>291</v>
      </c>
      <c r="D32" s="43"/>
      <c r="E32" s="43"/>
      <c r="F32" s="43"/>
      <c r="G32" s="43" t="s">
        <v>292</v>
      </c>
      <c r="J32" s="43"/>
      <c r="K32" s="43"/>
      <c r="L32" s="43"/>
      <c r="M32" s="43" t="s">
        <v>293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O1"/>
    <mergeCell ref="A2:O2"/>
    <mergeCell ref="A28:F28"/>
    <mergeCell ref="I28:J28"/>
    <mergeCell ref="A30:O30"/>
    <mergeCell ref="A32:C32"/>
    <mergeCell ref="G32:I32"/>
    <mergeCell ref="M32:O32"/>
  </mergeCells>
  <dataValidations>
    <dataValidation type="decimal" allowBlank="1" sqref="G7:G26">
      <formula1>0.0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8.0"/>
    <col customWidth="1" min="3" max="3" width="20.0"/>
    <col customWidth="1" min="4" max="4" width="52.0"/>
    <col customWidth="1" min="5" max="5" width="38.0"/>
    <col customWidth="1" min="6" max="8" width="10.0"/>
    <col customWidth="1" min="9" max="10" width="22.0"/>
    <col customWidth="1" min="11" max="12" width="32.0"/>
    <col customWidth="1" min="13" max="13" width="14.0"/>
    <col customWidth="1" min="14" max="14" width="22.0"/>
    <col customWidth="1" min="15" max="15" width="20.0"/>
  </cols>
  <sheetData>
    <row r="1" ht="24.0" customHeight="1">
      <c r="A1" s="36" t="s">
        <v>354</v>
      </c>
    </row>
    <row r="2" ht="24.0" customHeight="1">
      <c r="A2" s="37" t="s">
        <v>355</v>
      </c>
    </row>
    <row r="3" ht="33.75" customHeight="1">
      <c r="A3" s="34" t="s">
        <v>211</v>
      </c>
      <c r="B3" s="34" t="s">
        <v>212</v>
      </c>
      <c r="C3" s="34" t="s">
        <v>213</v>
      </c>
    </row>
    <row r="4" ht="33.75" customHeight="1">
      <c r="A4" s="35" t="s">
        <v>214</v>
      </c>
      <c r="B4" s="35" t="s">
        <v>35</v>
      </c>
      <c r="C4" s="35" t="s">
        <v>215</v>
      </c>
    </row>
    <row r="5" ht="33.75" customHeight="1"/>
    <row r="6" ht="33.75" customHeight="1">
      <c r="A6" s="38" t="s">
        <v>20</v>
      </c>
      <c r="B6" s="38" t="s">
        <v>216</v>
      </c>
      <c r="C6" s="38" t="s">
        <v>217</v>
      </c>
      <c r="D6" s="38" t="s">
        <v>218</v>
      </c>
      <c r="E6" s="38" t="s">
        <v>219</v>
      </c>
      <c r="F6" s="38" t="s">
        <v>220</v>
      </c>
      <c r="G6" s="38" t="s">
        <v>221</v>
      </c>
      <c r="H6" s="38" t="s">
        <v>222</v>
      </c>
      <c r="I6" s="38" t="s">
        <v>223</v>
      </c>
      <c r="J6" s="38" t="s">
        <v>224</v>
      </c>
      <c r="K6" s="38" t="s">
        <v>225</v>
      </c>
      <c r="L6" s="38" t="s">
        <v>226</v>
      </c>
      <c r="M6" s="38" t="s">
        <v>227</v>
      </c>
      <c r="N6" s="38" t="s">
        <v>228</v>
      </c>
      <c r="O6" s="38" t="s">
        <v>194</v>
      </c>
    </row>
    <row r="7" ht="33.75" customHeight="1">
      <c r="A7" s="35">
        <v>1.0</v>
      </c>
      <c r="B7" s="35" t="s">
        <v>229</v>
      </c>
      <c r="C7" s="35" t="s">
        <v>230</v>
      </c>
      <c r="D7" s="35" t="s">
        <v>231</v>
      </c>
      <c r="E7" s="35" t="s">
        <v>232</v>
      </c>
      <c r="F7" s="35">
        <v>5.0</v>
      </c>
      <c r="G7" s="35"/>
      <c r="H7" s="39" t="str">
        <f t="shared" ref="H7:H26" si="1">IF(G7="","",G7/F7)</f>
        <v/>
      </c>
      <c r="I7" s="35" t="s">
        <v>142</v>
      </c>
      <c r="J7" s="35" t="s">
        <v>170</v>
      </c>
      <c r="K7" s="35"/>
      <c r="L7" s="35"/>
      <c r="M7" s="35"/>
      <c r="N7" s="35" t="s">
        <v>35</v>
      </c>
      <c r="O7" s="35"/>
    </row>
    <row r="8" ht="33.75" customHeight="1">
      <c r="A8" s="35">
        <v>2.0</v>
      </c>
      <c r="B8" s="35" t="s">
        <v>229</v>
      </c>
      <c r="C8" s="35" t="s">
        <v>233</v>
      </c>
      <c r="D8" s="35" t="s">
        <v>234</v>
      </c>
      <c r="E8" s="35" t="s">
        <v>235</v>
      </c>
      <c r="F8" s="35">
        <v>5.0</v>
      </c>
      <c r="G8" s="35"/>
      <c r="H8" s="39" t="str">
        <f t="shared" si="1"/>
        <v/>
      </c>
      <c r="I8" s="35" t="s">
        <v>166</v>
      </c>
      <c r="J8" s="35" t="s">
        <v>191</v>
      </c>
      <c r="K8" s="35"/>
      <c r="L8" s="35"/>
      <c r="M8" s="35"/>
      <c r="N8" s="35" t="s">
        <v>35</v>
      </c>
      <c r="O8" s="35"/>
    </row>
    <row r="9" ht="33.75" customHeight="1">
      <c r="A9" s="35">
        <v>3.0</v>
      </c>
      <c r="B9" s="35" t="s">
        <v>229</v>
      </c>
      <c r="C9" s="35" t="s">
        <v>236</v>
      </c>
      <c r="D9" s="35" t="s">
        <v>237</v>
      </c>
      <c r="E9" s="35" t="s">
        <v>238</v>
      </c>
      <c r="F9" s="35">
        <v>5.0</v>
      </c>
      <c r="G9" s="35"/>
      <c r="H9" s="39" t="str">
        <f t="shared" si="1"/>
        <v/>
      </c>
      <c r="I9" s="35" t="s">
        <v>166</v>
      </c>
      <c r="J9" s="35" t="s">
        <v>191</v>
      </c>
      <c r="K9" s="35"/>
      <c r="L9" s="35"/>
      <c r="M9" s="35"/>
      <c r="N9" s="35" t="s">
        <v>35</v>
      </c>
      <c r="O9" s="35"/>
    </row>
    <row r="10" ht="33.75" customHeight="1">
      <c r="A10" s="35">
        <v>4.0</v>
      </c>
      <c r="B10" s="35" t="s">
        <v>239</v>
      </c>
      <c r="C10" s="35" t="s">
        <v>240</v>
      </c>
      <c r="D10" s="35" t="s">
        <v>241</v>
      </c>
      <c r="E10" s="35" t="s">
        <v>242</v>
      </c>
      <c r="F10" s="35">
        <v>5.0</v>
      </c>
      <c r="G10" s="35"/>
      <c r="H10" s="39" t="str">
        <f t="shared" si="1"/>
        <v/>
      </c>
      <c r="I10" s="35" t="s">
        <v>146</v>
      </c>
      <c r="J10" s="35" t="s">
        <v>173</v>
      </c>
      <c r="K10" s="35"/>
      <c r="L10" s="35"/>
      <c r="M10" s="35"/>
      <c r="N10" s="35" t="s">
        <v>35</v>
      </c>
      <c r="O10" s="35"/>
    </row>
    <row r="11" ht="33.75" customHeight="1">
      <c r="A11" s="35">
        <v>5.0</v>
      </c>
      <c r="B11" s="35" t="s">
        <v>239</v>
      </c>
      <c r="C11" s="35" t="s">
        <v>240</v>
      </c>
      <c r="D11" s="35" t="s">
        <v>243</v>
      </c>
      <c r="E11" s="35" t="s">
        <v>244</v>
      </c>
      <c r="F11" s="35">
        <v>5.0</v>
      </c>
      <c r="G11" s="35"/>
      <c r="H11" s="39" t="str">
        <f t="shared" si="1"/>
        <v/>
      </c>
      <c r="I11" s="35" t="s">
        <v>146</v>
      </c>
      <c r="J11" s="35" t="s">
        <v>173</v>
      </c>
      <c r="K11" s="35"/>
      <c r="L11" s="35"/>
      <c r="M11" s="35"/>
      <c r="N11" s="35" t="s">
        <v>35</v>
      </c>
      <c r="O11" s="35"/>
    </row>
    <row r="12" ht="33.75" customHeight="1">
      <c r="A12" s="35">
        <v>6.0</v>
      </c>
      <c r="B12" s="35" t="s">
        <v>245</v>
      </c>
      <c r="C12" s="35" t="s">
        <v>246</v>
      </c>
      <c r="D12" s="35" t="s">
        <v>247</v>
      </c>
      <c r="E12" s="35" t="s">
        <v>248</v>
      </c>
      <c r="F12" s="35">
        <v>5.0</v>
      </c>
      <c r="G12" s="35"/>
      <c r="H12" s="39" t="str">
        <f t="shared" si="1"/>
        <v/>
      </c>
      <c r="I12" s="35" t="s">
        <v>142</v>
      </c>
      <c r="J12" s="35" t="s">
        <v>179</v>
      </c>
      <c r="K12" s="35"/>
      <c r="L12" s="35"/>
      <c r="M12" s="35"/>
      <c r="N12" s="35" t="s">
        <v>35</v>
      </c>
      <c r="O12" s="35"/>
    </row>
    <row r="13" ht="33.75" customHeight="1">
      <c r="A13" s="35">
        <v>7.0</v>
      </c>
      <c r="B13" s="35" t="s">
        <v>245</v>
      </c>
      <c r="C13" s="35" t="s">
        <v>246</v>
      </c>
      <c r="D13" s="35" t="s">
        <v>249</v>
      </c>
      <c r="E13" s="35" t="s">
        <v>250</v>
      </c>
      <c r="F13" s="35">
        <v>5.0</v>
      </c>
      <c r="G13" s="35"/>
      <c r="H13" s="39" t="str">
        <f t="shared" si="1"/>
        <v/>
      </c>
      <c r="I13" s="35" t="s">
        <v>142</v>
      </c>
      <c r="J13" s="35" t="s">
        <v>179</v>
      </c>
      <c r="K13" s="35"/>
      <c r="L13" s="35"/>
      <c r="M13" s="35"/>
      <c r="N13" s="35" t="s">
        <v>35</v>
      </c>
      <c r="O13" s="35"/>
    </row>
    <row r="14" ht="33.75" customHeight="1">
      <c r="A14" s="35">
        <v>8.0</v>
      </c>
      <c r="B14" s="35" t="s">
        <v>251</v>
      </c>
      <c r="C14" s="35" t="s">
        <v>252</v>
      </c>
      <c r="D14" s="35" t="s">
        <v>253</v>
      </c>
      <c r="E14" s="35" t="s">
        <v>254</v>
      </c>
      <c r="F14" s="35">
        <v>5.0</v>
      </c>
      <c r="G14" s="35"/>
      <c r="H14" s="39" t="str">
        <f t="shared" si="1"/>
        <v/>
      </c>
      <c r="I14" s="35" t="s">
        <v>157</v>
      </c>
      <c r="J14" s="35" t="s">
        <v>179</v>
      </c>
      <c r="K14" s="35"/>
      <c r="L14" s="35"/>
      <c r="M14" s="35"/>
      <c r="N14" s="35" t="s">
        <v>35</v>
      </c>
      <c r="O14" s="35"/>
    </row>
    <row r="15" ht="33.75" customHeight="1">
      <c r="A15" s="35">
        <v>9.0</v>
      </c>
      <c r="B15" s="35" t="s">
        <v>251</v>
      </c>
      <c r="C15" s="35" t="s">
        <v>252</v>
      </c>
      <c r="D15" s="35" t="s">
        <v>255</v>
      </c>
      <c r="E15" s="35" t="s">
        <v>256</v>
      </c>
      <c r="F15" s="35">
        <v>5.0</v>
      </c>
      <c r="G15" s="35"/>
      <c r="H15" s="39" t="str">
        <f t="shared" si="1"/>
        <v/>
      </c>
      <c r="I15" s="35" t="s">
        <v>157</v>
      </c>
      <c r="J15" s="35" t="s">
        <v>179</v>
      </c>
      <c r="K15" s="35"/>
      <c r="L15" s="35"/>
      <c r="M15" s="35"/>
      <c r="N15" s="35" t="s">
        <v>35</v>
      </c>
      <c r="O15" s="35"/>
    </row>
    <row r="16" ht="33.75" customHeight="1">
      <c r="A16" s="35">
        <v>10.0</v>
      </c>
      <c r="B16" s="35" t="s">
        <v>257</v>
      </c>
      <c r="C16" s="35" t="s">
        <v>258</v>
      </c>
      <c r="D16" s="35" t="s">
        <v>259</v>
      </c>
      <c r="E16" s="35" t="s">
        <v>260</v>
      </c>
      <c r="F16" s="35">
        <v>5.0</v>
      </c>
      <c r="G16" s="35"/>
      <c r="H16" s="39" t="str">
        <f t="shared" si="1"/>
        <v/>
      </c>
      <c r="I16" s="35" t="s">
        <v>150</v>
      </c>
      <c r="J16" s="35" t="s">
        <v>182</v>
      </c>
      <c r="K16" s="35"/>
      <c r="L16" s="35"/>
      <c r="M16" s="35"/>
      <c r="N16" s="35" t="s">
        <v>35</v>
      </c>
      <c r="O16" s="35"/>
    </row>
    <row r="17" ht="33.75" customHeight="1">
      <c r="A17" s="35">
        <v>11.0</v>
      </c>
      <c r="B17" s="35" t="s">
        <v>257</v>
      </c>
      <c r="C17" s="35" t="s">
        <v>258</v>
      </c>
      <c r="D17" s="35" t="s">
        <v>261</v>
      </c>
      <c r="E17" s="35" t="s">
        <v>262</v>
      </c>
      <c r="F17" s="35">
        <v>5.0</v>
      </c>
      <c r="G17" s="35"/>
      <c r="H17" s="39" t="str">
        <f t="shared" si="1"/>
        <v/>
      </c>
      <c r="I17" s="35" t="s">
        <v>150</v>
      </c>
      <c r="J17" s="35" t="s">
        <v>182</v>
      </c>
      <c r="K17" s="35"/>
      <c r="L17" s="35"/>
      <c r="M17" s="35"/>
      <c r="N17" s="35" t="s">
        <v>35</v>
      </c>
      <c r="O17" s="35"/>
    </row>
    <row r="18" ht="33.75" customHeight="1">
      <c r="A18" s="35">
        <v>12.0</v>
      </c>
      <c r="B18" s="35" t="s">
        <v>263</v>
      </c>
      <c r="C18" s="35" t="s">
        <v>264</v>
      </c>
      <c r="D18" s="35" t="s">
        <v>265</v>
      </c>
      <c r="E18" s="35" t="s">
        <v>266</v>
      </c>
      <c r="F18" s="35">
        <v>5.0</v>
      </c>
      <c r="G18" s="35"/>
      <c r="H18" s="39" t="str">
        <f t="shared" si="1"/>
        <v/>
      </c>
      <c r="I18" s="35" t="s">
        <v>150</v>
      </c>
      <c r="J18" s="35" t="s">
        <v>182</v>
      </c>
      <c r="K18" s="35"/>
      <c r="L18" s="35"/>
      <c r="M18" s="35"/>
      <c r="N18" s="35" t="s">
        <v>35</v>
      </c>
      <c r="O18" s="35"/>
    </row>
    <row r="19" ht="33.75" customHeight="1">
      <c r="A19" s="35">
        <v>13.0</v>
      </c>
      <c r="B19" s="35" t="s">
        <v>263</v>
      </c>
      <c r="C19" s="35" t="s">
        <v>267</v>
      </c>
      <c r="D19" s="35" t="s">
        <v>268</v>
      </c>
      <c r="E19" s="35" t="s">
        <v>269</v>
      </c>
      <c r="F19" s="35">
        <v>5.0</v>
      </c>
      <c r="G19" s="35"/>
      <c r="H19" s="39" t="str">
        <f t="shared" si="1"/>
        <v/>
      </c>
      <c r="I19" s="35" t="s">
        <v>160</v>
      </c>
      <c r="J19" s="35" t="s">
        <v>188</v>
      </c>
      <c r="K19" s="35"/>
      <c r="L19" s="35"/>
      <c r="M19" s="35"/>
      <c r="N19" s="35" t="s">
        <v>35</v>
      </c>
      <c r="O19" s="35"/>
    </row>
    <row r="20" ht="33.75" customHeight="1">
      <c r="A20" s="35">
        <v>14.0</v>
      </c>
      <c r="B20" s="35" t="s">
        <v>270</v>
      </c>
      <c r="C20" s="35" t="s">
        <v>271</v>
      </c>
      <c r="D20" s="35" t="s">
        <v>272</v>
      </c>
      <c r="E20" s="35" t="s">
        <v>273</v>
      </c>
      <c r="F20" s="35">
        <v>5.0</v>
      </c>
      <c r="G20" s="35"/>
      <c r="H20" s="39" t="str">
        <f t="shared" si="1"/>
        <v/>
      </c>
      <c r="I20" s="35" t="s">
        <v>146</v>
      </c>
      <c r="J20" s="35" t="s">
        <v>188</v>
      </c>
      <c r="K20" s="35"/>
      <c r="L20" s="35"/>
      <c r="M20" s="35"/>
      <c r="N20" s="35" t="s">
        <v>35</v>
      </c>
      <c r="O20" s="35"/>
    </row>
    <row r="21" ht="33.75" customHeight="1">
      <c r="A21" s="35">
        <v>15.0</v>
      </c>
      <c r="B21" s="35" t="s">
        <v>270</v>
      </c>
      <c r="C21" s="35" t="s">
        <v>246</v>
      </c>
      <c r="D21" s="35" t="s">
        <v>274</v>
      </c>
      <c r="E21" s="35" t="s">
        <v>275</v>
      </c>
      <c r="F21" s="35">
        <v>5.0</v>
      </c>
      <c r="G21" s="35"/>
      <c r="H21" s="39" t="str">
        <f t="shared" si="1"/>
        <v/>
      </c>
      <c r="I21" s="35" t="s">
        <v>142</v>
      </c>
      <c r="J21" s="35" t="s">
        <v>179</v>
      </c>
      <c r="K21" s="35"/>
      <c r="L21" s="35"/>
      <c r="M21" s="35"/>
      <c r="N21" s="35" t="s">
        <v>35</v>
      </c>
      <c r="O21" s="35"/>
    </row>
    <row r="22" ht="33.75" customHeight="1">
      <c r="A22" s="35">
        <v>16.0</v>
      </c>
      <c r="B22" s="35" t="s">
        <v>276</v>
      </c>
      <c r="C22" s="35" t="s">
        <v>356</v>
      </c>
      <c r="D22" s="35" t="s">
        <v>357</v>
      </c>
      <c r="E22" s="35" t="s">
        <v>358</v>
      </c>
      <c r="F22" s="35">
        <v>5.0</v>
      </c>
      <c r="G22" s="35"/>
      <c r="H22" s="39" t="str">
        <f t="shared" si="1"/>
        <v/>
      </c>
      <c r="I22" s="35" t="s">
        <v>154</v>
      </c>
      <c r="J22" s="35" t="s">
        <v>176</v>
      </c>
      <c r="K22" s="35"/>
      <c r="L22" s="35"/>
      <c r="M22" s="35"/>
      <c r="N22" s="35" t="s">
        <v>35</v>
      </c>
      <c r="O22" s="35"/>
    </row>
    <row r="23" ht="33.75" customHeight="1">
      <c r="A23" s="35">
        <v>17.0</v>
      </c>
      <c r="B23" s="35" t="s">
        <v>276</v>
      </c>
      <c r="C23" s="35" t="s">
        <v>356</v>
      </c>
      <c r="D23" s="35" t="s">
        <v>359</v>
      </c>
      <c r="E23" s="35" t="s">
        <v>360</v>
      </c>
      <c r="F23" s="35">
        <v>5.0</v>
      </c>
      <c r="G23" s="35"/>
      <c r="H23" s="39" t="str">
        <f t="shared" si="1"/>
        <v/>
      </c>
      <c r="I23" s="35" t="s">
        <v>154</v>
      </c>
      <c r="J23" s="35" t="s">
        <v>176</v>
      </c>
      <c r="K23" s="35"/>
      <c r="L23" s="35"/>
      <c r="M23" s="35"/>
      <c r="N23" s="35" t="s">
        <v>35</v>
      </c>
      <c r="O23" s="35"/>
    </row>
    <row r="24" ht="33.75" customHeight="1">
      <c r="A24" s="35">
        <v>18.0</v>
      </c>
      <c r="B24" s="35" t="s">
        <v>276</v>
      </c>
      <c r="C24" s="35" t="s">
        <v>356</v>
      </c>
      <c r="D24" s="35" t="s">
        <v>361</v>
      </c>
      <c r="E24" s="35" t="s">
        <v>362</v>
      </c>
      <c r="F24" s="35">
        <v>5.0</v>
      </c>
      <c r="G24" s="35"/>
      <c r="H24" s="39" t="str">
        <f t="shared" si="1"/>
        <v/>
      </c>
      <c r="I24" s="35" t="s">
        <v>154</v>
      </c>
      <c r="J24" s="35" t="s">
        <v>176</v>
      </c>
      <c r="K24" s="35"/>
      <c r="L24" s="35"/>
      <c r="M24" s="35"/>
      <c r="N24" s="35" t="s">
        <v>35</v>
      </c>
      <c r="O24" s="35"/>
    </row>
    <row r="25" ht="33.75" customHeight="1">
      <c r="A25" s="35">
        <v>19.0</v>
      </c>
      <c r="B25" s="35" t="s">
        <v>276</v>
      </c>
      <c r="C25" s="35" t="s">
        <v>258</v>
      </c>
      <c r="D25" s="35" t="s">
        <v>363</v>
      </c>
      <c r="E25" s="35" t="s">
        <v>364</v>
      </c>
      <c r="F25" s="35">
        <v>5.0</v>
      </c>
      <c r="G25" s="35"/>
      <c r="H25" s="39" t="str">
        <f t="shared" si="1"/>
        <v/>
      </c>
      <c r="I25" s="35" t="s">
        <v>150</v>
      </c>
      <c r="J25" s="35" t="s">
        <v>182</v>
      </c>
      <c r="K25" s="35"/>
      <c r="L25" s="35"/>
      <c r="M25" s="35"/>
      <c r="N25" s="35" t="s">
        <v>35</v>
      </c>
      <c r="O25" s="35"/>
    </row>
    <row r="26" ht="33.75" customHeight="1">
      <c r="A26" s="35">
        <v>20.0</v>
      </c>
      <c r="B26" s="35" t="s">
        <v>276</v>
      </c>
      <c r="C26" s="35" t="s">
        <v>252</v>
      </c>
      <c r="D26" s="35" t="s">
        <v>365</v>
      </c>
      <c r="E26" s="35" t="s">
        <v>366</v>
      </c>
      <c r="F26" s="35">
        <v>5.0</v>
      </c>
      <c r="G26" s="35"/>
      <c r="H26" s="39" t="str">
        <f t="shared" si="1"/>
        <v/>
      </c>
      <c r="I26" s="35" t="s">
        <v>157</v>
      </c>
      <c r="J26" s="35" t="s">
        <v>179</v>
      </c>
      <c r="K26" s="35"/>
      <c r="L26" s="35"/>
      <c r="M26" s="35"/>
      <c r="N26" s="35" t="s">
        <v>35</v>
      </c>
      <c r="O26" s="35"/>
    </row>
    <row r="27" ht="33.75" customHeight="1"/>
    <row r="28" ht="33.75" customHeight="1">
      <c r="A28" s="40" t="s">
        <v>289</v>
      </c>
      <c r="G28" s="40">
        <f>SUM(G7:G26)</f>
        <v>0</v>
      </c>
      <c r="H28" s="41">
        <f>G28/100</f>
        <v>0</v>
      </c>
      <c r="I28" s="40" t="str">
        <f>IF(G28&gt;=90,"Tốt",IF(G28&gt;=80,"Khá",IF(G28&gt;=65,"Đạt","Chưa đạt")))</f>
        <v>Chưa đạt</v>
      </c>
    </row>
    <row r="29" ht="33.75" customHeight="1"/>
    <row r="30" ht="33.75" customHeight="1">
      <c r="A30" s="42" t="s">
        <v>290</v>
      </c>
    </row>
    <row r="31" ht="33.75" customHeight="1"/>
    <row r="32" ht="33.75" customHeight="1">
      <c r="A32" s="43" t="s">
        <v>291</v>
      </c>
      <c r="D32" s="43"/>
      <c r="E32" s="43"/>
      <c r="F32" s="43"/>
      <c r="G32" s="43" t="s">
        <v>292</v>
      </c>
      <c r="J32" s="43"/>
      <c r="K32" s="43"/>
      <c r="L32" s="43"/>
      <c r="M32" s="43" t="s">
        <v>293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O1"/>
    <mergeCell ref="A2:O2"/>
    <mergeCell ref="A28:F28"/>
    <mergeCell ref="I28:J28"/>
    <mergeCell ref="A30:O30"/>
    <mergeCell ref="A32:C32"/>
    <mergeCell ref="G32:I32"/>
    <mergeCell ref="M32:O32"/>
  </mergeCells>
  <dataValidations>
    <dataValidation type="decimal" allowBlank="1" sqref="G7:G26">
      <formula1>0.0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8.0"/>
    <col customWidth="1" min="3" max="3" width="20.0"/>
    <col customWidth="1" min="4" max="4" width="52.0"/>
    <col customWidth="1" min="5" max="5" width="38.0"/>
    <col customWidth="1" min="6" max="8" width="10.0"/>
    <col customWidth="1" min="9" max="10" width="22.0"/>
    <col customWidth="1" min="11" max="12" width="32.0"/>
    <col customWidth="1" min="13" max="13" width="14.0"/>
    <col customWidth="1" min="14" max="14" width="22.0"/>
    <col customWidth="1" min="15" max="15" width="20.0"/>
  </cols>
  <sheetData>
    <row r="1" ht="24.0" customHeight="1">
      <c r="A1" s="36" t="s">
        <v>367</v>
      </c>
    </row>
    <row r="2" ht="24.0" customHeight="1">
      <c r="A2" s="37" t="s">
        <v>368</v>
      </c>
    </row>
    <row r="3" ht="33.75" customHeight="1">
      <c r="A3" s="34" t="s">
        <v>211</v>
      </c>
      <c r="B3" s="34" t="s">
        <v>212</v>
      </c>
      <c r="C3" s="34" t="s">
        <v>213</v>
      </c>
    </row>
    <row r="4" ht="33.75" customHeight="1">
      <c r="A4" s="35" t="s">
        <v>214</v>
      </c>
      <c r="B4" s="35" t="s">
        <v>23</v>
      </c>
      <c r="C4" s="35" t="s">
        <v>215</v>
      </c>
    </row>
    <row r="5" ht="33.75" customHeight="1"/>
    <row r="6" ht="33.75" customHeight="1">
      <c r="A6" s="38" t="s">
        <v>20</v>
      </c>
      <c r="B6" s="38" t="s">
        <v>216</v>
      </c>
      <c r="C6" s="38" t="s">
        <v>217</v>
      </c>
      <c r="D6" s="38" t="s">
        <v>218</v>
      </c>
      <c r="E6" s="38" t="s">
        <v>219</v>
      </c>
      <c r="F6" s="38" t="s">
        <v>220</v>
      </c>
      <c r="G6" s="38" t="s">
        <v>221</v>
      </c>
      <c r="H6" s="38" t="s">
        <v>222</v>
      </c>
      <c r="I6" s="38" t="s">
        <v>223</v>
      </c>
      <c r="J6" s="38" t="s">
        <v>224</v>
      </c>
      <c r="K6" s="38" t="s">
        <v>225</v>
      </c>
      <c r="L6" s="38" t="s">
        <v>226</v>
      </c>
      <c r="M6" s="38" t="s">
        <v>227</v>
      </c>
      <c r="N6" s="38" t="s">
        <v>228</v>
      </c>
      <c r="O6" s="38" t="s">
        <v>194</v>
      </c>
    </row>
    <row r="7" ht="33.75" customHeight="1">
      <c r="A7" s="35">
        <v>1.0</v>
      </c>
      <c r="B7" s="35" t="s">
        <v>229</v>
      </c>
      <c r="C7" s="35" t="s">
        <v>230</v>
      </c>
      <c r="D7" s="35" t="s">
        <v>231</v>
      </c>
      <c r="E7" s="35" t="s">
        <v>232</v>
      </c>
      <c r="F7" s="35">
        <v>5.0</v>
      </c>
      <c r="G7" s="35"/>
      <c r="H7" s="39" t="str">
        <f t="shared" ref="H7:H26" si="1">IF(G7="","",G7/F7)</f>
        <v/>
      </c>
      <c r="I7" s="35" t="s">
        <v>142</v>
      </c>
      <c r="J7" s="35" t="s">
        <v>170</v>
      </c>
      <c r="K7" s="35"/>
      <c r="L7" s="35"/>
      <c r="M7" s="35"/>
      <c r="N7" s="35" t="s">
        <v>23</v>
      </c>
      <c r="O7" s="35"/>
    </row>
    <row r="8" ht="33.75" customHeight="1">
      <c r="A8" s="35">
        <v>2.0</v>
      </c>
      <c r="B8" s="35" t="s">
        <v>229</v>
      </c>
      <c r="C8" s="35" t="s">
        <v>233</v>
      </c>
      <c r="D8" s="35" t="s">
        <v>234</v>
      </c>
      <c r="E8" s="35" t="s">
        <v>235</v>
      </c>
      <c r="F8" s="35">
        <v>5.0</v>
      </c>
      <c r="G8" s="35"/>
      <c r="H8" s="39" t="str">
        <f t="shared" si="1"/>
        <v/>
      </c>
      <c r="I8" s="35" t="s">
        <v>166</v>
      </c>
      <c r="J8" s="35" t="s">
        <v>191</v>
      </c>
      <c r="K8" s="35"/>
      <c r="L8" s="35"/>
      <c r="M8" s="35"/>
      <c r="N8" s="35" t="s">
        <v>23</v>
      </c>
      <c r="O8" s="35"/>
    </row>
    <row r="9" ht="33.75" customHeight="1">
      <c r="A9" s="35">
        <v>3.0</v>
      </c>
      <c r="B9" s="35" t="s">
        <v>229</v>
      </c>
      <c r="C9" s="35" t="s">
        <v>236</v>
      </c>
      <c r="D9" s="35" t="s">
        <v>237</v>
      </c>
      <c r="E9" s="35" t="s">
        <v>238</v>
      </c>
      <c r="F9" s="35">
        <v>5.0</v>
      </c>
      <c r="G9" s="35"/>
      <c r="H9" s="39" t="str">
        <f t="shared" si="1"/>
        <v/>
      </c>
      <c r="I9" s="35" t="s">
        <v>166</v>
      </c>
      <c r="J9" s="35" t="s">
        <v>191</v>
      </c>
      <c r="K9" s="35"/>
      <c r="L9" s="35"/>
      <c r="M9" s="35"/>
      <c r="N9" s="35" t="s">
        <v>23</v>
      </c>
      <c r="O9" s="35"/>
    </row>
    <row r="10" ht="33.75" customHeight="1">
      <c r="A10" s="35">
        <v>4.0</v>
      </c>
      <c r="B10" s="35" t="s">
        <v>239</v>
      </c>
      <c r="C10" s="35" t="s">
        <v>240</v>
      </c>
      <c r="D10" s="35" t="s">
        <v>241</v>
      </c>
      <c r="E10" s="35" t="s">
        <v>242</v>
      </c>
      <c r="F10" s="35">
        <v>5.0</v>
      </c>
      <c r="G10" s="35"/>
      <c r="H10" s="39" t="str">
        <f t="shared" si="1"/>
        <v/>
      </c>
      <c r="I10" s="35" t="s">
        <v>146</v>
      </c>
      <c r="J10" s="35" t="s">
        <v>173</v>
      </c>
      <c r="K10" s="35"/>
      <c r="L10" s="35"/>
      <c r="M10" s="35"/>
      <c r="N10" s="35" t="s">
        <v>23</v>
      </c>
      <c r="O10" s="35"/>
    </row>
    <row r="11" ht="33.75" customHeight="1">
      <c r="A11" s="35">
        <v>5.0</v>
      </c>
      <c r="B11" s="35" t="s">
        <v>239</v>
      </c>
      <c r="C11" s="35" t="s">
        <v>240</v>
      </c>
      <c r="D11" s="35" t="s">
        <v>243</v>
      </c>
      <c r="E11" s="35" t="s">
        <v>244</v>
      </c>
      <c r="F11" s="35">
        <v>5.0</v>
      </c>
      <c r="G11" s="35"/>
      <c r="H11" s="39" t="str">
        <f t="shared" si="1"/>
        <v/>
      </c>
      <c r="I11" s="35" t="s">
        <v>146</v>
      </c>
      <c r="J11" s="35" t="s">
        <v>173</v>
      </c>
      <c r="K11" s="35"/>
      <c r="L11" s="35"/>
      <c r="M11" s="35"/>
      <c r="N11" s="35" t="s">
        <v>23</v>
      </c>
      <c r="O11" s="35"/>
    </row>
    <row r="12" ht="33.75" customHeight="1">
      <c r="A12" s="35">
        <v>6.0</v>
      </c>
      <c r="B12" s="35" t="s">
        <v>245</v>
      </c>
      <c r="C12" s="35" t="s">
        <v>246</v>
      </c>
      <c r="D12" s="35" t="s">
        <v>247</v>
      </c>
      <c r="E12" s="35" t="s">
        <v>248</v>
      </c>
      <c r="F12" s="35">
        <v>5.0</v>
      </c>
      <c r="G12" s="35"/>
      <c r="H12" s="39" t="str">
        <f t="shared" si="1"/>
        <v/>
      </c>
      <c r="I12" s="35" t="s">
        <v>142</v>
      </c>
      <c r="J12" s="35" t="s">
        <v>179</v>
      </c>
      <c r="K12" s="35"/>
      <c r="L12" s="35"/>
      <c r="M12" s="35"/>
      <c r="N12" s="35" t="s">
        <v>23</v>
      </c>
      <c r="O12" s="35"/>
    </row>
    <row r="13" ht="33.75" customHeight="1">
      <c r="A13" s="35">
        <v>7.0</v>
      </c>
      <c r="B13" s="35" t="s">
        <v>245</v>
      </c>
      <c r="C13" s="35" t="s">
        <v>246</v>
      </c>
      <c r="D13" s="35" t="s">
        <v>249</v>
      </c>
      <c r="E13" s="35" t="s">
        <v>250</v>
      </c>
      <c r="F13" s="35">
        <v>5.0</v>
      </c>
      <c r="G13" s="35"/>
      <c r="H13" s="39" t="str">
        <f t="shared" si="1"/>
        <v/>
      </c>
      <c r="I13" s="35" t="s">
        <v>142</v>
      </c>
      <c r="J13" s="35" t="s">
        <v>179</v>
      </c>
      <c r="K13" s="35"/>
      <c r="L13" s="35"/>
      <c r="M13" s="35"/>
      <c r="N13" s="35" t="s">
        <v>23</v>
      </c>
      <c r="O13" s="35"/>
    </row>
    <row r="14" ht="33.75" customHeight="1">
      <c r="A14" s="35">
        <v>8.0</v>
      </c>
      <c r="B14" s="35" t="s">
        <v>251</v>
      </c>
      <c r="C14" s="35" t="s">
        <v>252</v>
      </c>
      <c r="D14" s="35" t="s">
        <v>253</v>
      </c>
      <c r="E14" s="35" t="s">
        <v>254</v>
      </c>
      <c r="F14" s="35">
        <v>5.0</v>
      </c>
      <c r="G14" s="35"/>
      <c r="H14" s="39" t="str">
        <f t="shared" si="1"/>
        <v/>
      </c>
      <c r="I14" s="35" t="s">
        <v>157</v>
      </c>
      <c r="J14" s="35" t="s">
        <v>179</v>
      </c>
      <c r="K14" s="35"/>
      <c r="L14" s="35"/>
      <c r="M14" s="35"/>
      <c r="N14" s="35" t="s">
        <v>23</v>
      </c>
      <c r="O14" s="35"/>
    </row>
    <row r="15" ht="33.75" customHeight="1">
      <c r="A15" s="35">
        <v>9.0</v>
      </c>
      <c r="B15" s="35" t="s">
        <v>251</v>
      </c>
      <c r="C15" s="35" t="s">
        <v>252</v>
      </c>
      <c r="D15" s="35" t="s">
        <v>255</v>
      </c>
      <c r="E15" s="35" t="s">
        <v>256</v>
      </c>
      <c r="F15" s="35">
        <v>5.0</v>
      </c>
      <c r="G15" s="35"/>
      <c r="H15" s="39" t="str">
        <f t="shared" si="1"/>
        <v/>
      </c>
      <c r="I15" s="35" t="s">
        <v>157</v>
      </c>
      <c r="J15" s="35" t="s">
        <v>179</v>
      </c>
      <c r="K15" s="35"/>
      <c r="L15" s="35"/>
      <c r="M15" s="35"/>
      <c r="N15" s="35" t="s">
        <v>23</v>
      </c>
      <c r="O15" s="35"/>
    </row>
    <row r="16" ht="33.75" customHeight="1">
      <c r="A16" s="35">
        <v>10.0</v>
      </c>
      <c r="B16" s="35" t="s">
        <v>257</v>
      </c>
      <c r="C16" s="35" t="s">
        <v>258</v>
      </c>
      <c r="D16" s="35" t="s">
        <v>259</v>
      </c>
      <c r="E16" s="35" t="s">
        <v>260</v>
      </c>
      <c r="F16" s="35">
        <v>5.0</v>
      </c>
      <c r="G16" s="35"/>
      <c r="H16" s="39" t="str">
        <f t="shared" si="1"/>
        <v/>
      </c>
      <c r="I16" s="35" t="s">
        <v>150</v>
      </c>
      <c r="J16" s="35" t="s">
        <v>182</v>
      </c>
      <c r="K16" s="35"/>
      <c r="L16" s="35"/>
      <c r="M16" s="35"/>
      <c r="N16" s="35" t="s">
        <v>23</v>
      </c>
      <c r="O16" s="35"/>
    </row>
    <row r="17" ht="33.75" customHeight="1">
      <c r="A17" s="35">
        <v>11.0</v>
      </c>
      <c r="B17" s="35" t="s">
        <v>257</v>
      </c>
      <c r="C17" s="35" t="s">
        <v>258</v>
      </c>
      <c r="D17" s="35" t="s">
        <v>261</v>
      </c>
      <c r="E17" s="35" t="s">
        <v>262</v>
      </c>
      <c r="F17" s="35">
        <v>5.0</v>
      </c>
      <c r="G17" s="35"/>
      <c r="H17" s="39" t="str">
        <f t="shared" si="1"/>
        <v/>
      </c>
      <c r="I17" s="35" t="s">
        <v>150</v>
      </c>
      <c r="J17" s="35" t="s">
        <v>182</v>
      </c>
      <c r="K17" s="35"/>
      <c r="L17" s="35"/>
      <c r="M17" s="35"/>
      <c r="N17" s="35" t="s">
        <v>23</v>
      </c>
      <c r="O17" s="35"/>
    </row>
    <row r="18" ht="33.75" customHeight="1">
      <c r="A18" s="35">
        <v>12.0</v>
      </c>
      <c r="B18" s="35" t="s">
        <v>263</v>
      </c>
      <c r="C18" s="35" t="s">
        <v>264</v>
      </c>
      <c r="D18" s="35" t="s">
        <v>265</v>
      </c>
      <c r="E18" s="35" t="s">
        <v>266</v>
      </c>
      <c r="F18" s="35">
        <v>5.0</v>
      </c>
      <c r="G18" s="35"/>
      <c r="H18" s="39" t="str">
        <f t="shared" si="1"/>
        <v/>
      </c>
      <c r="I18" s="35" t="s">
        <v>150</v>
      </c>
      <c r="J18" s="35" t="s">
        <v>182</v>
      </c>
      <c r="K18" s="35"/>
      <c r="L18" s="35"/>
      <c r="M18" s="35"/>
      <c r="N18" s="35" t="s">
        <v>23</v>
      </c>
      <c r="O18" s="35"/>
    </row>
    <row r="19" ht="33.75" customHeight="1">
      <c r="A19" s="35">
        <v>13.0</v>
      </c>
      <c r="B19" s="35" t="s">
        <v>263</v>
      </c>
      <c r="C19" s="35" t="s">
        <v>267</v>
      </c>
      <c r="D19" s="35" t="s">
        <v>268</v>
      </c>
      <c r="E19" s="35" t="s">
        <v>269</v>
      </c>
      <c r="F19" s="35">
        <v>5.0</v>
      </c>
      <c r="G19" s="35"/>
      <c r="H19" s="39" t="str">
        <f t="shared" si="1"/>
        <v/>
      </c>
      <c r="I19" s="35" t="s">
        <v>160</v>
      </c>
      <c r="J19" s="35" t="s">
        <v>188</v>
      </c>
      <c r="K19" s="35"/>
      <c r="L19" s="35"/>
      <c r="M19" s="35"/>
      <c r="N19" s="35" t="s">
        <v>23</v>
      </c>
      <c r="O19" s="35"/>
    </row>
    <row r="20" ht="33.75" customHeight="1">
      <c r="A20" s="35">
        <v>14.0</v>
      </c>
      <c r="B20" s="35" t="s">
        <v>270</v>
      </c>
      <c r="C20" s="35" t="s">
        <v>271</v>
      </c>
      <c r="D20" s="35" t="s">
        <v>272</v>
      </c>
      <c r="E20" s="35" t="s">
        <v>273</v>
      </c>
      <c r="F20" s="35">
        <v>5.0</v>
      </c>
      <c r="G20" s="35"/>
      <c r="H20" s="39" t="str">
        <f t="shared" si="1"/>
        <v/>
      </c>
      <c r="I20" s="35" t="s">
        <v>146</v>
      </c>
      <c r="J20" s="35" t="s">
        <v>188</v>
      </c>
      <c r="K20" s="35"/>
      <c r="L20" s="35"/>
      <c r="M20" s="35"/>
      <c r="N20" s="35" t="s">
        <v>23</v>
      </c>
      <c r="O20" s="35"/>
    </row>
    <row r="21" ht="33.75" customHeight="1">
      <c r="A21" s="35">
        <v>15.0</v>
      </c>
      <c r="B21" s="35" t="s">
        <v>270</v>
      </c>
      <c r="C21" s="35" t="s">
        <v>246</v>
      </c>
      <c r="D21" s="35" t="s">
        <v>274</v>
      </c>
      <c r="E21" s="35" t="s">
        <v>275</v>
      </c>
      <c r="F21" s="35">
        <v>5.0</v>
      </c>
      <c r="G21" s="35"/>
      <c r="H21" s="39" t="str">
        <f t="shared" si="1"/>
        <v/>
      </c>
      <c r="I21" s="35" t="s">
        <v>142</v>
      </c>
      <c r="J21" s="35" t="s">
        <v>179</v>
      </c>
      <c r="K21" s="35"/>
      <c r="L21" s="35"/>
      <c r="M21" s="35"/>
      <c r="N21" s="35" t="s">
        <v>23</v>
      </c>
      <c r="O21" s="35"/>
    </row>
    <row r="22" ht="33.75" customHeight="1">
      <c r="A22" s="35">
        <v>16.0</v>
      </c>
      <c r="B22" s="35" t="s">
        <v>276</v>
      </c>
      <c r="C22" s="35" t="s">
        <v>271</v>
      </c>
      <c r="D22" s="35" t="s">
        <v>369</v>
      </c>
      <c r="E22" s="35" t="s">
        <v>370</v>
      </c>
      <c r="F22" s="35">
        <v>5.0</v>
      </c>
      <c r="G22" s="35"/>
      <c r="H22" s="39" t="str">
        <f t="shared" si="1"/>
        <v/>
      </c>
      <c r="I22" s="35" t="s">
        <v>146</v>
      </c>
      <c r="J22" s="35" t="s">
        <v>188</v>
      </c>
      <c r="K22" s="35"/>
      <c r="L22" s="35"/>
      <c r="M22" s="35"/>
      <c r="N22" s="35" t="s">
        <v>23</v>
      </c>
      <c r="O22" s="35"/>
    </row>
    <row r="23" ht="33.75" customHeight="1">
      <c r="A23" s="35">
        <v>17.0</v>
      </c>
      <c r="B23" s="35" t="s">
        <v>276</v>
      </c>
      <c r="C23" s="35" t="s">
        <v>246</v>
      </c>
      <c r="D23" s="35" t="s">
        <v>371</v>
      </c>
      <c r="E23" s="35" t="s">
        <v>372</v>
      </c>
      <c r="F23" s="35">
        <v>5.0</v>
      </c>
      <c r="G23" s="35"/>
      <c r="H23" s="39" t="str">
        <f t="shared" si="1"/>
        <v/>
      </c>
      <c r="I23" s="35" t="s">
        <v>142</v>
      </c>
      <c r="J23" s="35" t="s">
        <v>179</v>
      </c>
      <c r="K23" s="35"/>
      <c r="L23" s="35"/>
      <c r="M23" s="35"/>
      <c r="N23" s="35" t="s">
        <v>23</v>
      </c>
      <c r="O23" s="35"/>
    </row>
    <row r="24" ht="33.75" customHeight="1">
      <c r="A24" s="35">
        <v>18.0</v>
      </c>
      <c r="B24" s="35" t="s">
        <v>276</v>
      </c>
      <c r="C24" s="35" t="s">
        <v>258</v>
      </c>
      <c r="D24" s="35" t="s">
        <v>373</v>
      </c>
      <c r="E24" s="35" t="s">
        <v>374</v>
      </c>
      <c r="F24" s="35">
        <v>5.0</v>
      </c>
      <c r="G24" s="35"/>
      <c r="H24" s="39" t="str">
        <f t="shared" si="1"/>
        <v/>
      </c>
      <c r="I24" s="35" t="s">
        <v>150</v>
      </c>
      <c r="J24" s="35" t="s">
        <v>182</v>
      </c>
      <c r="K24" s="35"/>
      <c r="L24" s="35"/>
      <c r="M24" s="35"/>
      <c r="N24" s="35" t="s">
        <v>23</v>
      </c>
      <c r="O24" s="35"/>
    </row>
    <row r="25" ht="33.75" customHeight="1">
      <c r="A25" s="35">
        <v>19.0</v>
      </c>
      <c r="B25" s="35" t="s">
        <v>276</v>
      </c>
      <c r="C25" s="35" t="s">
        <v>264</v>
      </c>
      <c r="D25" s="35" t="s">
        <v>375</v>
      </c>
      <c r="E25" s="35" t="s">
        <v>376</v>
      </c>
      <c r="F25" s="35">
        <v>5.0</v>
      </c>
      <c r="G25" s="35"/>
      <c r="H25" s="39" t="str">
        <f t="shared" si="1"/>
        <v/>
      </c>
      <c r="I25" s="35" t="s">
        <v>150</v>
      </c>
      <c r="J25" s="35" t="s">
        <v>182</v>
      </c>
      <c r="K25" s="35"/>
      <c r="L25" s="35"/>
      <c r="M25" s="35"/>
      <c r="N25" s="35" t="s">
        <v>23</v>
      </c>
      <c r="O25" s="35"/>
    </row>
    <row r="26" ht="33.75" customHeight="1">
      <c r="A26" s="35">
        <v>20.0</v>
      </c>
      <c r="B26" s="35" t="s">
        <v>276</v>
      </c>
      <c r="C26" s="35" t="s">
        <v>252</v>
      </c>
      <c r="D26" s="35" t="s">
        <v>377</v>
      </c>
      <c r="E26" s="35" t="s">
        <v>378</v>
      </c>
      <c r="F26" s="35">
        <v>5.0</v>
      </c>
      <c r="G26" s="35"/>
      <c r="H26" s="39" t="str">
        <f t="shared" si="1"/>
        <v/>
      </c>
      <c r="I26" s="35" t="s">
        <v>157</v>
      </c>
      <c r="J26" s="35" t="s">
        <v>179</v>
      </c>
      <c r="K26" s="35"/>
      <c r="L26" s="35"/>
      <c r="M26" s="35"/>
      <c r="N26" s="35" t="s">
        <v>23</v>
      </c>
      <c r="O26" s="35"/>
    </row>
    <row r="27" ht="33.75" customHeight="1"/>
    <row r="28" ht="33.75" customHeight="1">
      <c r="A28" s="40" t="s">
        <v>289</v>
      </c>
      <c r="G28" s="40">
        <f>SUM(G7:G26)</f>
        <v>0</v>
      </c>
      <c r="H28" s="41">
        <f>G28/100</f>
        <v>0</v>
      </c>
      <c r="I28" s="40" t="str">
        <f>IF(G28&gt;=90,"Tốt",IF(G28&gt;=80,"Khá",IF(G28&gt;=65,"Đạt","Chưa đạt")))</f>
        <v>Chưa đạt</v>
      </c>
    </row>
    <row r="29" ht="33.75" customHeight="1"/>
    <row r="30" ht="33.75" customHeight="1">
      <c r="A30" s="42" t="s">
        <v>290</v>
      </c>
    </row>
    <row r="31" ht="33.75" customHeight="1"/>
    <row r="32" ht="33.75" customHeight="1">
      <c r="A32" s="43" t="s">
        <v>291</v>
      </c>
      <c r="D32" s="43"/>
      <c r="E32" s="43"/>
      <c r="F32" s="43"/>
      <c r="G32" s="43" t="s">
        <v>292</v>
      </c>
      <c r="J32" s="43"/>
      <c r="K32" s="43"/>
      <c r="L32" s="43"/>
      <c r="M32" s="43" t="s">
        <v>293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O1"/>
    <mergeCell ref="A2:O2"/>
    <mergeCell ref="A28:F28"/>
    <mergeCell ref="I28:J28"/>
    <mergeCell ref="A30:O30"/>
    <mergeCell ref="A32:C32"/>
    <mergeCell ref="G32:I32"/>
    <mergeCell ref="M32:O32"/>
  </mergeCells>
  <dataValidations>
    <dataValidation type="decimal" allowBlank="1" sqref="G7:G26">
      <formula1>0.0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4.0"/>
    <col customWidth="1" min="3" max="3" width="5.0"/>
    <col customWidth="1" min="4" max="4" width="8.0"/>
    <col customWidth="1" min="5" max="5" width="20.0"/>
    <col customWidth="1" min="6" max="6" width="52.0"/>
    <col customWidth="1" min="7" max="7" width="38.0"/>
    <col customWidth="1" min="8" max="10" width="10.0"/>
    <col customWidth="1" min="11" max="12" width="22.0"/>
    <col customWidth="1" min="13" max="14" width="32.0"/>
    <col customWidth="1" min="15" max="15" width="14.0"/>
    <col customWidth="1" min="16" max="16" width="22.0"/>
    <col customWidth="1" min="17" max="17" width="20.0"/>
  </cols>
  <sheetData>
    <row r="1">
      <c r="A1" s="34" t="s">
        <v>379</v>
      </c>
      <c r="B1" s="34" t="s">
        <v>380</v>
      </c>
      <c r="C1" s="34" t="s">
        <v>20</v>
      </c>
      <c r="D1" s="34" t="s">
        <v>216</v>
      </c>
      <c r="E1" s="34" t="s">
        <v>217</v>
      </c>
      <c r="F1" s="34" t="s">
        <v>218</v>
      </c>
      <c r="G1" s="34" t="s">
        <v>219</v>
      </c>
      <c r="H1" s="34" t="s">
        <v>220</v>
      </c>
      <c r="I1" s="34" t="s">
        <v>221</v>
      </c>
      <c r="J1" s="34" t="s">
        <v>222</v>
      </c>
      <c r="K1" s="34" t="s">
        <v>223</v>
      </c>
      <c r="L1" s="34" t="s">
        <v>224</v>
      </c>
      <c r="M1" s="34" t="s">
        <v>225</v>
      </c>
      <c r="N1" s="34" t="s">
        <v>226</v>
      </c>
      <c r="O1" s="34" t="s">
        <v>227</v>
      </c>
      <c r="P1" s="34" t="s">
        <v>228</v>
      </c>
      <c r="Q1" s="34" t="s">
        <v>194</v>
      </c>
    </row>
    <row r="2">
      <c r="A2" s="35" t="s">
        <v>27</v>
      </c>
      <c r="B2" s="35" t="s">
        <v>114</v>
      </c>
      <c r="C2" s="35">
        <v>1.0</v>
      </c>
      <c r="D2" s="35" t="s">
        <v>229</v>
      </c>
      <c r="E2" s="35" t="s">
        <v>230</v>
      </c>
      <c r="F2" s="35" t="s">
        <v>231</v>
      </c>
      <c r="G2" s="35" t="s">
        <v>232</v>
      </c>
      <c r="H2" s="35">
        <v>5.0</v>
      </c>
      <c r="I2" s="35"/>
      <c r="J2" s="35"/>
      <c r="K2" s="35" t="s">
        <v>142</v>
      </c>
      <c r="L2" s="35" t="s">
        <v>170</v>
      </c>
      <c r="M2" s="35"/>
      <c r="N2" s="35"/>
      <c r="O2" s="35"/>
      <c r="P2" s="35" t="s">
        <v>27</v>
      </c>
      <c r="Q2" s="35"/>
    </row>
    <row r="3">
      <c r="A3" s="35" t="s">
        <v>27</v>
      </c>
      <c r="B3" s="35" t="s">
        <v>114</v>
      </c>
      <c r="C3" s="35">
        <v>2.0</v>
      </c>
      <c r="D3" s="35" t="s">
        <v>229</v>
      </c>
      <c r="E3" s="35" t="s">
        <v>233</v>
      </c>
      <c r="F3" s="35" t="s">
        <v>234</v>
      </c>
      <c r="G3" s="35" t="s">
        <v>235</v>
      </c>
      <c r="H3" s="35">
        <v>5.0</v>
      </c>
      <c r="I3" s="35"/>
      <c r="J3" s="35"/>
      <c r="K3" s="35" t="s">
        <v>166</v>
      </c>
      <c r="L3" s="35" t="s">
        <v>191</v>
      </c>
      <c r="M3" s="35"/>
      <c r="N3" s="35"/>
      <c r="O3" s="35"/>
      <c r="P3" s="35" t="s">
        <v>27</v>
      </c>
      <c r="Q3" s="35"/>
    </row>
    <row r="4">
      <c r="A4" s="35" t="s">
        <v>27</v>
      </c>
      <c r="B4" s="35" t="s">
        <v>114</v>
      </c>
      <c r="C4" s="35">
        <v>3.0</v>
      </c>
      <c r="D4" s="35" t="s">
        <v>229</v>
      </c>
      <c r="E4" s="35" t="s">
        <v>236</v>
      </c>
      <c r="F4" s="35" t="s">
        <v>237</v>
      </c>
      <c r="G4" s="35" t="s">
        <v>238</v>
      </c>
      <c r="H4" s="35">
        <v>5.0</v>
      </c>
      <c r="I4" s="35"/>
      <c r="J4" s="35"/>
      <c r="K4" s="35" t="s">
        <v>166</v>
      </c>
      <c r="L4" s="35" t="s">
        <v>191</v>
      </c>
      <c r="M4" s="35"/>
      <c r="N4" s="35"/>
      <c r="O4" s="35"/>
      <c r="P4" s="35" t="s">
        <v>27</v>
      </c>
      <c r="Q4" s="35"/>
    </row>
    <row r="5">
      <c r="A5" s="35" t="s">
        <v>27</v>
      </c>
      <c r="B5" s="35" t="s">
        <v>114</v>
      </c>
      <c r="C5" s="35">
        <v>4.0</v>
      </c>
      <c r="D5" s="35" t="s">
        <v>239</v>
      </c>
      <c r="E5" s="35" t="s">
        <v>240</v>
      </c>
      <c r="F5" s="35" t="s">
        <v>241</v>
      </c>
      <c r="G5" s="35" t="s">
        <v>242</v>
      </c>
      <c r="H5" s="35">
        <v>5.0</v>
      </c>
      <c r="I5" s="35"/>
      <c r="J5" s="35"/>
      <c r="K5" s="35" t="s">
        <v>146</v>
      </c>
      <c r="L5" s="35" t="s">
        <v>173</v>
      </c>
      <c r="M5" s="35"/>
      <c r="N5" s="35"/>
      <c r="O5" s="35"/>
      <c r="P5" s="35" t="s">
        <v>27</v>
      </c>
      <c r="Q5" s="35"/>
    </row>
    <row r="6">
      <c r="A6" s="35" t="s">
        <v>27</v>
      </c>
      <c r="B6" s="35" t="s">
        <v>114</v>
      </c>
      <c r="C6" s="35">
        <v>5.0</v>
      </c>
      <c r="D6" s="35" t="s">
        <v>239</v>
      </c>
      <c r="E6" s="35" t="s">
        <v>240</v>
      </c>
      <c r="F6" s="35" t="s">
        <v>243</v>
      </c>
      <c r="G6" s="35" t="s">
        <v>244</v>
      </c>
      <c r="H6" s="35">
        <v>5.0</v>
      </c>
      <c r="I6" s="35"/>
      <c r="J6" s="35"/>
      <c r="K6" s="35" t="s">
        <v>146</v>
      </c>
      <c r="L6" s="35" t="s">
        <v>173</v>
      </c>
      <c r="M6" s="35"/>
      <c r="N6" s="35"/>
      <c r="O6" s="35"/>
      <c r="P6" s="35" t="s">
        <v>27</v>
      </c>
      <c r="Q6" s="35"/>
    </row>
    <row r="7">
      <c r="A7" s="35" t="s">
        <v>27</v>
      </c>
      <c r="B7" s="35" t="s">
        <v>114</v>
      </c>
      <c r="C7" s="35">
        <v>6.0</v>
      </c>
      <c r="D7" s="35" t="s">
        <v>245</v>
      </c>
      <c r="E7" s="35" t="s">
        <v>246</v>
      </c>
      <c r="F7" s="35" t="s">
        <v>247</v>
      </c>
      <c r="G7" s="35" t="s">
        <v>248</v>
      </c>
      <c r="H7" s="35">
        <v>5.0</v>
      </c>
      <c r="I7" s="35"/>
      <c r="J7" s="35"/>
      <c r="K7" s="35" t="s">
        <v>142</v>
      </c>
      <c r="L7" s="35" t="s">
        <v>179</v>
      </c>
      <c r="M7" s="35"/>
      <c r="N7" s="35"/>
      <c r="O7" s="35"/>
      <c r="P7" s="35" t="s">
        <v>27</v>
      </c>
      <c r="Q7" s="35"/>
    </row>
    <row r="8">
      <c r="A8" s="35" t="s">
        <v>27</v>
      </c>
      <c r="B8" s="35" t="s">
        <v>114</v>
      </c>
      <c r="C8" s="35">
        <v>7.0</v>
      </c>
      <c r="D8" s="35" t="s">
        <v>245</v>
      </c>
      <c r="E8" s="35" t="s">
        <v>246</v>
      </c>
      <c r="F8" s="35" t="s">
        <v>249</v>
      </c>
      <c r="G8" s="35" t="s">
        <v>250</v>
      </c>
      <c r="H8" s="35">
        <v>5.0</v>
      </c>
      <c r="I8" s="35"/>
      <c r="J8" s="35"/>
      <c r="K8" s="35" t="s">
        <v>142</v>
      </c>
      <c r="L8" s="35" t="s">
        <v>179</v>
      </c>
      <c r="M8" s="35"/>
      <c r="N8" s="35"/>
      <c r="O8" s="35"/>
      <c r="P8" s="35" t="s">
        <v>27</v>
      </c>
      <c r="Q8" s="35"/>
    </row>
    <row r="9">
      <c r="A9" s="35" t="s">
        <v>27</v>
      </c>
      <c r="B9" s="35" t="s">
        <v>114</v>
      </c>
      <c r="C9" s="35">
        <v>8.0</v>
      </c>
      <c r="D9" s="35" t="s">
        <v>251</v>
      </c>
      <c r="E9" s="35" t="s">
        <v>252</v>
      </c>
      <c r="F9" s="35" t="s">
        <v>253</v>
      </c>
      <c r="G9" s="35" t="s">
        <v>254</v>
      </c>
      <c r="H9" s="35">
        <v>5.0</v>
      </c>
      <c r="I9" s="35"/>
      <c r="J9" s="35"/>
      <c r="K9" s="35" t="s">
        <v>157</v>
      </c>
      <c r="L9" s="35" t="s">
        <v>179</v>
      </c>
      <c r="M9" s="35"/>
      <c r="N9" s="35"/>
      <c r="O9" s="35"/>
      <c r="P9" s="35" t="s">
        <v>27</v>
      </c>
      <c r="Q9" s="35"/>
    </row>
    <row r="10">
      <c r="A10" s="35" t="s">
        <v>27</v>
      </c>
      <c r="B10" s="35" t="s">
        <v>114</v>
      </c>
      <c r="C10" s="35">
        <v>9.0</v>
      </c>
      <c r="D10" s="35" t="s">
        <v>251</v>
      </c>
      <c r="E10" s="35" t="s">
        <v>252</v>
      </c>
      <c r="F10" s="35" t="s">
        <v>255</v>
      </c>
      <c r="G10" s="35" t="s">
        <v>256</v>
      </c>
      <c r="H10" s="35">
        <v>5.0</v>
      </c>
      <c r="I10" s="35"/>
      <c r="J10" s="35"/>
      <c r="K10" s="35" t="s">
        <v>157</v>
      </c>
      <c r="L10" s="35" t="s">
        <v>179</v>
      </c>
      <c r="M10" s="35"/>
      <c r="N10" s="35"/>
      <c r="O10" s="35"/>
      <c r="P10" s="35" t="s">
        <v>27</v>
      </c>
      <c r="Q10" s="35"/>
    </row>
    <row r="11">
      <c r="A11" s="35" t="s">
        <v>27</v>
      </c>
      <c r="B11" s="35" t="s">
        <v>114</v>
      </c>
      <c r="C11" s="35">
        <v>10.0</v>
      </c>
      <c r="D11" s="35" t="s">
        <v>257</v>
      </c>
      <c r="E11" s="35" t="s">
        <v>258</v>
      </c>
      <c r="F11" s="35" t="s">
        <v>259</v>
      </c>
      <c r="G11" s="35" t="s">
        <v>260</v>
      </c>
      <c r="H11" s="35">
        <v>5.0</v>
      </c>
      <c r="I11" s="35"/>
      <c r="J11" s="35"/>
      <c r="K11" s="35" t="s">
        <v>150</v>
      </c>
      <c r="L11" s="35" t="s">
        <v>182</v>
      </c>
      <c r="M11" s="35"/>
      <c r="N11" s="35"/>
      <c r="O11" s="35"/>
      <c r="P11" s="35" t="s">
        <v>27</v>
      </c>
      <c r="Q11" s="35"/>
    </row>
    <row r="12">
      <c r="A12" s="35" t="s">
        <v>27</v>
      </c>
      <c r="B12" s="35" t="s">
        <v>114</v>
      </c>
      <c r="C12" s="35">
        <v>11.0</v>
      </c>
      <c r="D12" s="35" t="s">
        <v>257</v>
      </c>
      <c r="E12" s="35" t="s">
        <v>258</v>
      </c>
      <c r="F12" s="35" t="s">
        <v>261</v>
      </c>
      <c r="G12" s="35" t="s">
        <v>262</v>
      </c>
      <c r="H12" s="35">
        <v>5.0</v>
      </c>
      <c r="I12" s="35"/>
      <c r="J12" s="35"/>
      <c r="K12" s="35" t="s">
        <v>150</v>
      </c>
      <c r="L12" s="35" t="s">
        <v>182</v>
      </c>
      <c r="M12" s="35"/>
      <c r="N12" s="35"/>
      <c r="O12" s="35"/>
      <c r="P12" s="35" t="s">
        <v>27</v>
      </c>
      <c r="Q12" s="35"/>
    </row>
    <row r="13">
      <c r="A13" s="35" t="s">
        <v>27</v>
      </c>
      <c r="B13" s="35" t="s">
        <v>114</v>
      </c>
      <c r="C13" s="35">
        <v>12.0</v>
      </c>
      <c r="D13" s="35" t="s">
        <v>263</v>
      </c>
      <c r="E13" s="35" t="s">
        <v>264</v>
      </c>
      <c r="F13" s="35" t="s">
        <v>265</v>
      </c>
      <c r="G13" s="35" t="s">
        <v>266</v>
      </c>
      <c r="H13" s="35">
        <v>5.0</v>
      </c>
      <c r="I13" s="35"/>
      <c r="J13" s="35"/>
      <c r="K13" s="35" t="s">
        <v>150</v>
      </c>
      <c r="L13" s="35" t="s">
        <v>182</v>
      </c>
      <c r="M13" s="35"/>
      <c r="N13" s="35"/>
      <c r="O13" s="35"/>
      <c r="P13" s="35" t="s">
        <v>27</v>
      </c>
      <c r="Q13" s="35"/>
    </row>
    <row r="14">
      <c r="A14" s="35" t="s">
        <v>27</v>
      </c>
      <c r="B14" s="35" t="s">
        <v>114</v>
      </c>
      <c r="C14" s="35">
        <v>13.0</v>
      </c>
      <c r="D14" s="35" t="s">
        <v>263</v>
      </c>
      <c r="E14" s="35" t="s">
        <v>267</v>
      </c>
      <c r="F14" s="35" t="s">
        <v>268</v>
      </c>
      <c r="G14" s="35" t="s">
        <v>269</v>
      </c>
      <c r="H14" s="35">
        <v>5.0</v>
      </c>
      <c r="I14" s="35"/>
      <c r="J14" s="35"/>
      <c r="K14" s="35" t="s">
        <v>160</v>
      </c>
      <c r="L14" s="35" t="s">
        <v>188</v>
      </c>
      <c r="M14" s="35"/>
      <c r="N14" s="35"/>
      <c r="O14" s="35"/>
      <c r="P14" s="35" t="s">
        <v>27</v>
      </c>
      <c r="Q14" s="35"/>
    </row>
    <row r="15">
      <c r="A15" s="35" t="s">
        <v>27</v>
      </c>
      <c r="B15" s="35" t="s">
        <v>114</v>
      </c>
      <c r="C15" s="35">
        <v>14.0</v>
      </c>
      <c r="D15" s="35" t="s">
        <v>270</v>
      </c>
      <c r="E15" s="35" t="s">
        <v>271</v>
      </c>
      <c r="F15" s="35" t="s">
        <v>272</v>
      </c>
      <c r="G15" s="35" t="s">
        <v>273</v>
      </c>
      <c r="H15" s="35">
        <v>5.0</v>
      </c>
      <c r="I15" s="35"/>
      <c r="J15" s="35"/>
      <c r="K15" s="35" t="s">
        <v>146</v>
      </c>
      <c r="L15" s="35" t="s">
        <v>188</v>
      </c>
      <c r="M15" s="35"/>
      <c r="N15" s="35"/>
      <c r="O15" s="35"/>
      <c r="P15" s="35" t="s">
        <v>27</v>
      </c>
      <c r="Q15" s="35"/>
    </row>
    <row r="16">
      <c r="A16" s="35" t="s">
        <v>27</v>
      </c>
      <c r="B16" s="35" t="s">
        <v>114</v>
      </c>
      <c r="C16" s="35">
        <v>15.0</v>
      </c>
      <c r="D16" s="35" t="s">
        <v>270</v>
      </c>
      <c r="E16" s="35" t="s">
        <v>246</v>
      </c>
      <c r="F16" s="35" t="s">
        <v>274</v>
      </c>
      <c r="G16" s="35" t="s">
        <v>275</v>
      </c>
      <c r="H16" s="35">
        <v>5.0</v>
      </c>
      <c r="I16" s="35"/>
      <c r="J16" s="35"/>
      <c r="K16" s="35" t="s">
        <v>142</v>
      </c>
      <c r="L16" s="35" t="s">
        <v>179</v>
      </c>
      <c r="M16" s="35"/>
      <c r="N16" s="35"/>
      <c r="O16" s="35"/>
      <c r="P16" s="35" t="s">
        <v>27</v>
      </c>
      <c r="Q16" s="35"/>
    </row>
    <row r="17">
      <c r="A17" s="35" t="s">
        <v>27</v>
      </c>
      <c r="B17" s="35" t="s">
        <v>114</v>
      </c>
      <c r="C17" s="35">
        <v>16.0</v>
      </c>
      <c r="D17" s="35" t="s">
        <v>276</v>
      </c>
      <c r="E17" s="35" t="s">
        <v>277</v>
      </c>
      <c r="F17" s="35" t="s">
        <v>278</v>
      </c>
      <c r="G17" s="35" t="s">
        <v>279</v>
      </c>
      <c r="H17" s="35">
        <v>5.0</v>
      </c>
      <c r="I17" s="35"/>
      <c r="J17" s="35"/>
      <c r="K17" s="35" t="s">
        <v>163</v>
      </c>
      <c r="L17" s="35" t="s">
        <v>185</v>
      </c>
      <c r="M17" s="35"/>
      <c r="N17" s="35"/>
      <c r="O17" s="35"/>
      <c r="P17" s="35" t="s">
        <v>27</v>
      </c>
      <c r="Q17" s="35"/>
    </row>
    <row r="18">
      <c r="A18" s="35" t="s">
        <v>27</v>
      </c>
      <c r="B18" s="35" t="s">
        <v>114</v>
      </c>
      <c r="C18" s="35">
        <v>17.0</v>
      </c>
      <c r="D18" s="35" t="s">
        <v>276</v>
      </c>
      <c r="E18" s="35" t="s">
        <v>233</v>
      </c>
      <c r="F18" s="35" t="s">
        <v>280</v>
      </c>
      <c r="G18" s="35" t="s">
        <v>281</v>
      </c>
      <c r="H18" s="35">
        <v>5.0</v>
      </c>
      <c r="I18" s="35"/>
      <c r="J18" s="35"/>
      <c r="K18" s="35" t="s">
        <v>166</v>
      </c>
      <c r="L18" s="35" t="s">
        <v>191</v>
      </c>
      <c r="M18" s="35"/>
      <c r="N18" s="35"/>
      <c r="O18" s="35"/>
      <c r="P18" s="35" t="s">
        <v>27</v>
      </c>
      <c r="Q18" s="35"/>
    </row>
    <row r="19">
      <c r="A19" s="35" t="s">
        <v>27</v>
      </c>
      <c r="B19" s="35" t="s">
        <v>114</v>
      </c>
      <c r="C19" s="35">
        <v>18.0</v>
      </c>
      <c r="D19" s="35" t="s">
        <v>276</v>
      </c>
      <c r="E19" s="35" t="s">
        <v>277</v>
      </c>
      <c r="F19" s="35" t="s">
        <v>282</v>
      </c>
      <c r="G19" s="35" t="s">
        <v>283</v>
      </c>
      <c r="H19" s="35">
        <v>5.0</v>
      </c>
      <c r="I19" s="35"/>
      <c r="J19" s="35"/>
      <c r="K19" s="35" t="s">
        <v>163</v>
      </c>
      <c r="L19" s="35" t="s">
        <v>185</v>
      </c>
      <c r="M19" s="35"/>
      <c r="N19" s="35"/>
      <c r="O19" s="35"/>
      <c r="P19" s="35" t="s">
        <v>27</v>
      </c>
      <c r="Q19" s="35"/>
    </row>
    <row r="20">
      <c r="A20" s="35" t="s">
        <v>27</v>
      </c>
      <c r="B20" s="35" t="s">
        <v>114</v>
      </c>
      <c r="C20" s="35">
        <v>19.0</v>
      </c>
      <c r="D20" s="35" t="s">
        <v>276</v>
      </c>
      <c r="E20" s="35" t="s">
        <v>284</v>
      </c>
      <c r="F20" s="35" t="s">
        <v>285</v>
      </c>
      <c r="G20" s="35" t="s">
        <v>286</v>
      </c>
      <c r="H20" s="35">
        <v>5.0</v>
      </c>
      <c r="I20" s="35"/>
      <c r="J20" s="35"/>
      <c r="K20" s="35" t="s">
        <v>142</v>
      </c>
      <c r="L20" s="35" t="s">
        <v>170</v>
      </c>
      <c r="M20" s="35"/>
      <c r="N20" s="35"/>
      <c r="O20" s="35"/>
      <c r="P20" s="35" t="s">
        <v>27</v>
      </c>
      <c r="Q20" s="35"/>
    </row>
    <row r="21" ht="15.75" customHeight="1">
      <c r="A21" s="35" t="s">
        <v>27</v>
      </c>
      <c r="B21" s="35" t="s">
        <v>114</v>
      </c>
      <c r="C21" s="35">
        <v>20.0</v>
      </c>
      <c r="D21" s="35" t="s">
        <v>276</v>
      </c>
      <c r="E21" s="35" t="s">
        <v>277</v>
      </c>
      <c r="F21" s="35" t="s">
        <v>287</v>
      </c>
      <c r="G21" s="35" t="s">
        <v>288</v>
      </c>
      <c r="H21" s="35">
        <v>5.0</v>
      </c>
      <c r="I21" s="35"/>
      <c r="J21" s="35"/>
      <c r="K21" s="35" t="s">
        <v>163</v>
      </c>
      <c r="L21" s="35" t="s">
        <v>185</v>
      </c>
      <c r="M21" s="35"/>
      <c r="N21" s="35"/>
      <c r="O21" s="35"/>
      <c r="P21" s="35" t="s">
        <v>27</v>
      </c>
      <c r="Q21" s="35"/>
    </row>
    <row r="22" ht="15.75" customHeight="1">
      <c r="A22" s="35" t="s">
        <v>29</v>
      </c>
      <c r="B22" s="35" t="s">
        <v>115</v>
      </c>
      <c r="C22" s="35">
        <v>1.0</v>
      </c>
      <c r="D22" s="35" t="s">
        <v>229</v>
      </c>
      <c r="E22" s="35" t="s">
        <v>230</v>
      </c>
      <c r="F22" s="35" t="s">
        <v>231</v>
      </c>
      <c r="G22" s="35" t="s">
        <v>232</v>
      </c>
      <c r="H22" s="35">
        <v>5.0</v>
      </c>
      <c r="I22" s="35"/>
      <c r="J22" s="35"/>
      <c r="K22" s="35" t="s">
        <v>142</v>
      </c>
      <c r="L22" s="35" t="s">
        <v>170</v>
      </c>
      <c r="M22" s="35"/>
      <c r="N22" s="35"/>
      <c r="O22" s="35"/>
      <c r="P22" s="35" t="s">
        <v>29</v>
      </c>
      <c r="Q22" s="35"/>
    </row>
    <row r="23" ht="15.75" customHeight="1">
      <c r="A23" s="35" t="s">
        <v>29</v>
      </c>
      <c r="B23" s="35" t="s">
        <v>115</v>
      </c>
      <c r="C23" s="35">
        <v>2.0</v>
      </c>
      <c r="D23" s="35" t="s">
        <v>229</v>
      </c>
      <c r="E23" s="35" t="s">
        <v>233</v>
      </c>
      <c r="F23" s="35" t="s">
        <v>234</v>
      </c>
      <c r="G23" s="35" t="s">
        <v>235</v>
      </c>
      <c r="H23" s="35">
        <v>5.0</v>
      </c>
      <c r="I23" s="35"/>
      <c r="J23" s="35"/>
      <c r="K23" s="35" t="s">
        <v>166</v>
      </c>
      <c r="L23" s="35" t="s">
        <v>191</v>
      </c>
      <c r="M23" s="35"/>
      <c r="N23" s="35"/>
      <c r="O23" s="35"/>
      <c r="P23" s="35" t="s">
        <v>29</v>
      </c>
      <c r="Q23" s="35"/>
    </row>
    <row r="24" ht="15.75" customHeight="1">
      <c r="A24" s="35" t="s">
        <v>29</v>
      </c>
      <c r="B24" s="35" t="s">
        <v>115</v>
      </c>
      <c r="C24" s="35">
        <v>3.0</v>
      </c>
      <c r="D24" s="35" t="s">
        <v>229</v>
      </c>
      <c r="E24" s="35" t="s">
        <v>236</v>
      </c>
      <c r="F24" s="35" t="s">
        <v>237</v>
      </c>
      <c r="G24" s="35" t="s">
        <v>238</v>
      </c>
      <c r="H24" s="35">
        <v>5.0</v>
      </c>
      <c r="I24" s="35"/>
      <c r="J24" s="35"/>
      <c r="K24" s="35" t="s">
        <v>166</v>
      </c>
      <c r="L24" s="35" t="s">
        <v>191</v>
      </c>
      <c r="M24" s="35"/>
      <c r="N24" s="35"/>
      <c r="O24" s="35"/>
      <c r="P24" s="35" t="s">
        <v>29</v>
      </c>
      <c r="Q24" s="35"/>
    </row>
    <row r="25" ht="15.75" customHeight="1">
      <c r="A25" s="35" t="s">
        <v>29</v>
      </c>
      <c r="B25" s="35" t="s">
        <v>115</v>
      </c>
      <c r="C25" s="35">
        <v>4.0</v>
      </c>
      <c r="D25" s="35" t="s">
        <v>239</v>
      </c>
      <c r="E25" s="35" t="s">
        <v>240</v>
      </c>
      <c r="F25" s="35" t="s">
        <v>241</v>
      </c>
      <c r="G25" s="35" t="s">
        <v>242</v>
      </c>
      <c r="H25" s="35">
        <v>5.0</v>
      </c>
      <c r="I25" s="35"/>
      <c r="J25" s="35"/>
      <c r="K25" s="35" t="s">
        <v>146</v>
      </c>
      <c r="L25" s="35" t="s">
        <v>173</v>
      </c>
      <c r="M25" s="35"/>
      <c r="N25" s="35"/>
      <c r="O25" s="35"/>
      <c r="P25" s="35" t="s">
        <v>29</v>
      </c>
      <c r="Q25" s="35"/>
    </row>
    <row r="26" ht="15.75" customHeight="1">
      <c r="A26" s="35" t="s">
        <v>29</v>
      </c>
      <c r="B26" s="35" t="s">
        <v>115</v>
      </c>
      <c r="C26" s="35">
        <v>5.0</v>
      </c>
      <c r="D26" s="35" t="s">
        <v>239</v>
      </c>
      <c r="E26" s="35" t="s">
        <v>240</v>
      </c>
      <c r="F26" s="35" t="s">
        <v>243</v>
      </c>
      <c r="G26" s="35" t="s">
        <v>244</v>
      </c>
      <c r="H26" s="35">
        <v>5.0</v>
      </c>
      <c r="I26" s="35"/>
      <c r="J26" s="35"/>
      <c r="K26" s="35" t="s">
        <v>146</v>
      </c>
      <c r="L26" s="35" t="s">
        <v>173</v>
      </c>
      <c r="M26" s="35"/>
      <c r="N26" s="35"/>
      <c r="O26" s="35"/>
      <c r="P26" s="35" t="s">
        <v>29</v>
      </c>
      <c r="Q26" s="35"/>
    </row>
    <row r="27" ht="15.75" customHeight="1">
      <c r="A27" s="35" t="s">
        <v>29</v>
      </c>
      <c r="B27" s="35" t="s">
        <v>115</v>
      </c>
      <c r="C27" s="35">
        <v>6.0</v>
      </c>
      <c r="D27" s="35" t="s">
        <v>245</v>
      </c>
      <c r="E27" s="35" t="s">
        <v>246</v>
      </c>
      <c r="F27" s="35" t="s">
        <v>247</v>
      </c>
      <c r="G27" s="35" t="s">
        <v>248</v>
      </c>
      <c r="H27" s="35">
        <v>5.0</v>
      </c>
      <c r="I27" s="35"/>
      <c r="J27" s="35"/>
      <c r="K27" s="35" t="s">
        <v>142</v>
      </c>
      <c r="L27" s="35" t="s">
        <v>179</v>
      </c>
      <c r="M27" s="35"/>
      <c r="N27" s="35"/>
      <c r="O27" s="35"/>
      <c r="P27" s="35" t="s">
        <v>29</v>
      </c>
      <c r="Q27" s="35"/>
    </row>
    <row r="28" ht="15.75" customHeight="1">
      <c r="A28" s="35" t="s">
        <v>29</v>
      </c>
      <c r="B28" s="35" t="s">
        <v>115</v>
      </c>
      <c r="C28" s="35">
        <v>7.0</v>
      </c>
      <c r="D28" s="35" t="s">
        <v>245</v>
      </c>
      <c r="E28" s="35" t="s">
        <v>246</v>
      </c>
      <c r="F28" s="35" t="s">
        <v>249</v>
      </c>
      <c r="G28" s="35" t="s">
        <v>250</v>
      </c>
      <c r="H28" s="35">
        <v>5.0</v>
      </c>
      <c r="I28" s="35"/>
      <c r="J28" s="35"/>
      <c r="K28" s="35" t="s">
        <v>142</v>
      </c>
      <c r="L28" s="35" t="s">
        <v>179</v>
      </c>
      <c r="M28" s="35"/>
      <c r="N28" s="35"/>
      <c r="O28" s="35"/>
      <c r="P28" s="35" t="s">
        <v>29</v>
      </c>
      <c r="Q28" s="35"/>
    </row>
    <row r="29" ht="15.75" customHeight="1">
      <c r="A29" s="35" t="s">
        <v>29</v>
      </c>
      <c r="B29" s="35" t="s">
        <v>115</v>
      </c>
      <c r="C29" s="35">
        <v>8.0</v>
      </c>
      <c r="D29" s="35" t="s">
        <v>251</v>
      </c>
      <c r="E29" s="35" t="s">
        <v>252</v>
      </c>
      <c r="F29" s="35" t="s">
        <v>253</v>
      </c>
      <c r="G29" s="35" t="s">
        <v>254</v>
      </c>
      <c r="H29" s="35">
        <v>5.0</v>
      </c>
      <c r="I29" s="35"/>
      <c r="J29" s="35"/>
      <c r="K29" s="35" t="s">
        <v>157</v>
      </c>
      <c r="L29" s="35" t="s">
        <v>179</v>
      </c>
      <c r="M29" s="35"/>
      <c r="N29" s="35"/>
      <c r="O29" s="35"/>
      <c r="P29" s="35" t="s">
        <v>29</v>
      </c>
      <c r="Q29" s="35"/>
    </row>
    <row r="30" ht="15.75" customHeight="1">
      <c r="A30" s="35" t="s">
        <v>29</v>
      </c>
      <c r="B30" s="35" t="s">
        <v>115</v>
      </c>
      <c r="C30" s="35">
        <v>9.0</v>
      </c>
      <c r="D30" s="35" t="s">
        <v>251</v>
      </c>
      <c r="E30" s="35" t="s">
        <v>252</v>
      </c>
      <c r="F30" s="35" t="s">
        <v>255</v>
      </c>
      <c r="G30" s="35" t="s">
        <v>256</v>
      </c>
      <c r="H30" s="35">
        <v>5.0</v>
      </c>
      <c r="I30" s="35"/>
      <c r="J30" s="35"/>
      <c r="K30" s="35" t="s">
        <v>157</v>
      </c>
      <c r="L30" s="35" t="s">
        <v>179</v>
      </c>
      <c r="M30" s="35"/>
      <c r="N30" s="35"/>
      <c r="O30" s="35"/>
      <c r="P30" s="35" t="s">
        <v>29</v>
      </c>
      <c r="Q30" s="35"/>
    </row>
    <row r="31" ht="15.75" customHeight="1">
      <c r="A31" s="35" t="s">
        <v>29</v>
      </c>
      <c r="B31" s="35" t="s">
        <v>115</v>
      </c>
      <c r="C31" s="35">
        <v>10.0</v>
      </c>
      <c r="D31" s="35" t="s">
        <v>257</v>
      </c>
      <c r="E31" s="35" t="s">
        <v>258</v>
      </c>
      <c r="F31" s="35" t="s">
        <v>259</v>
      </c>
      <c r="G31" s="35" t="s">
        <v>260</v>
      </c>
      <c r="H31" s="35">
        <v>5.0</v>
      </c>
      <c r="I31" s="35"/>
      <c r="J31" s="35"/>
      <c r="K31" s="35" t="s">
        <v>150</v>
      </c>
      <c r="L31" s="35" t="s">
        <v>182</v>
      </c>
      <c r="M31" s="35"/>
      <c r="N31" s="35"/>
      <c r="O31" s="35"/>
      <c r="P31" s="35" t="s">
        <v>29</v>
      </c>
      <c r="Q31" s="35"/>
    </row>
    <row r="32" ht="15.75" customHeight="1">
      <c r="A32" s="35" t="s">
        <v>29</v>
      </c>
      <c r="B32" s="35" t="s">
        <v>115</v>
      </c>
      <c r="C32" s="35">
        <v>11.0</v>
      </c>
      <c r="D32" s="35" t="s">
        <v>257</v>
      </c>
      <c r="E32" s="35" t="s">
        <v>258</v>
      </c>
      <c r="F32" s="35" t="s">
        <v>261</v>
      </c>
      <c r="G32" s="35" t="s">
        <v>262</v>
      </c>
      <c r="H32" s="35">
        <v>5.0</v>
      </c>
      <c r="I32" s="35"/>
      <c r="J32" s="35"/>
      <c r="K32" s="35" t="s">
        <v>150</v>
      </c>
      <c r="L32" s="35" t="s">
        <v>182</v>
      </c>
      <c r="M32" s="35"/>
      <c r="N32" s="35"/>
      <c r="O32" s="35"/>
      <c r="P32" s="35" t="s">
        <v>29</v>
      </c>
      <c r="Q32" s="35"/>
    </row>
    <row r="33" ht="15.75" customHeight="1">
      <c r="A33" s="35" t="s">
        <v>29</v>
      </c>
      <c r="B33" s="35" t="s">
        <v>115</v>
      </c>
      <c r="C33" s="35">
        <v>12.0</v>
      </c>
      <c r="D33" s="35" t="s">
        <v>263</v>
      </c>
      <c r="E33" s="35" t="s">
        <v>264</v>
      </c>
      <c r="F33" s="35" t="s">
        <v>265</v>
      </c>
      <c r="G33" s="35" t="s">
        <v>266</v>
      </c>
      <c r="H33" s="35">
        <v>5.0</v>
      </c>
      <c r="I33" s="35"/>
      <c r="J33" s="35"/>
      <c r="K33" s="35" t="s">
        <v>150</v>
      </c>
      <c r="L33" s="35" t="s">
        <v>182</v>
      </c>
      <c r="M33" s="35"/>
      <c r="N33" s="35"/>
      <c r="O33" s="35"/>
      <c r="P33" s="35" t="s">
        <v>29</v>
      </c>
      <c r="Q33" s="35"/>
    </row>
    <row r="34" ht="15.75" customHeight="1">
      <c r="A34" s="35" t="s">
        <v>29</v>
      </c>
      <c r="B34" s="35" t="s">
        <v>115</v>
      </c>
      <c r="C34" s="35">
        <v>13.0</v>
      </c>
      <c r="D34" s="35" t="s">
        <v>263</v>
      </c>
      <c r="E34" s="35" t="s">
        <v>267</v>
      </c>
      <c r="F34" s="35" t="s">
        <v>268</v>
      </c>
      <c r="G34" s="35" t="s">
        <v>269</v>
      </c>
      <c r="H34" s="35">
        <v>5.0</v>
      </c>
      <c r="I34" s="35"/>
      <c r="J34" s="35"/>
      <c r="K34" s="35" t="s">
        <v>160</v>
      </c>
      <c r="L34" s="35" t="s">
        <v>188</v>
      </c>
      <c r="M34" s="35"/>
      <c r="N34" s="35"/>
      <c r="O34" s="35"/>
      <c r="P34" s="35" t="s">
        <v>29</v>
      </c>
      <c r="Q34" s="35"/>
    </row>
    <row r="35" ht="15.75" customHeight="1">
      <c r="A35" s="35" t="s">
        <v>29</v>
      </c>
      <c r="B35" s="35" t="s">
        <v>115</v>
      </c>
      <c r="C35" s="35">
        <v>14.0</v>
      </c>
      <c r="D35" s="35" t="s">
        <v>270</v>
      </c>
      <c r="E35" s="35" t="s">
        <v>271</v>
      </c>
      <c r="F35" s="35" t="s">
        <v>272</v>
      </c>
      <c r="G35" s="35" t="s">
        <v>273</v>
      </c>
      <c r="H35" s="35">
        <v>5.0</v>
      </c>
      <c r="I35" s="35"/>
      <c r="J35" s="35"/>
      <c r="K35" s="35" t="s">
        <v>146</v>
      </c>
      <c r="L35" s="35" t="s">
        <v>188</v>
      </c>
      <c r="M35" s="35"/>
      <c r="N35" s="35"/>
      <c r="O35" s="35"/>
      <c r="P35" s="35" t="s">
        <v>29</v>
      </c>
      <c r="Q35" s="35"/>
    </row>
    <row r="36" ht="15.75" customHeight="1">
      <c r="A36" s="35" t="s">
        <v>29</v>
      </c>
      <c r="B36" s="35" t="s">
        <v>115</v>
      </c>
      <c r="C36" s="35">
        <v>15.0</v>
      </c>
      <c r="D36" s="35" t="s">
        <v>270</v>
      </c>
      <c r="E36" s="35" t="s">
        <v>246</v>
      </c>
      <c r="F36" s="35" t="s">
        <v>274</v>
      </c>
      <c r="G36" s="35" t="s">
        <v>275</v>
      </c>
      <c r="H36" s="35">
        <v>5.0</v>
      </c>
      <c r="I36" s="35"/>
      <c r="J36" s="35"/>
      <c r="K36" s="35" t="s">
        <v>142</v>
      </c>
      <c r="L36" s="35" t="s">
        <v>179</v>
      </c>
      <c r="M36" s="35"/>
      <c r="N36" s="35"/>
      <c r="O36" s="35"/>
      <c r="P36" s="35" t="s">
        <v>29</v>
      </c>
      <c r="Q36" s="35"/>
    </row>
    <row r="37" ht="15.75" customHeight="1">
      <c r="A37" s="35" t="s">
        <v>29</v>
      </c>
      <c r="B37" s="35" t="s">
        <v>115</v>
      </c>
      <c r="C37" s="35">
        <v>16.0</v>
      </c>
      <c r="D37" s="35" t="s">
        <v>276</v>
      </c>
      <c r="E37" s="35" t="s">
        <v>246</v>
      </c>
      <c r="F37" s="35" t="s">
        <v>296</v>
      </c>
      <c r="G37" s="35" t="s">
        <v>297</v>
      </c>
      <c r="H37" s="35">
        <v>5.0</v>
      </c>
      <c r="I37" s="35"/>
      <c r="J37" s="35"/>
      <c r="K37" s="35" t="s">
        <v>142</v>
      </c>
      <c r="L37" s="35" t="s">
        <v>179</v>
      </c>
      <c r="M37" s="35"/>
      <c r="N37" s="35"/>
      <c r="O37" s="35"/>
      <c r="P37" s="35" t="s">
        <v>29</v>
      </c>
      <c r="Q37" s="35"/>
    </row>
    <row r="38" ht="15.75" customHeight="1">
      <c r="A38" s="35" t="s">
        <v>29</v>
      </c>
      <c r="B38" s="35" t="s">
        <v>115</v>
      </c>
      <c r="C38" s="35">
        <v>17.0</v>
      </c>
      <c r="D38" s="35" t="s">
        <v>276</v>
      </c>
      <c r="E38" s="35" t="s">
        <v>246</v>
      </c>
      <c r="F38" s="35" t="s">
        <v>298</v>
      </c>
      <c r="G38" s="35" t="s">
        <v>299</v>
      </c>
      <c r="H38" s="35">
        <v>5.0</v>
      </c>
      <c r="I38" s="35"/>
      <c r="J38" s="35"/>
      <c r="K38" s="35" t="s">
        <v>142</v>
      </c>
      <c r="L38" s="35" t="s">
        <v>179</v>
      </c>
      <c r="M38" s="35"/>
      <c r="N38" s="35"/>
      <c r="O38" s="35"/>
      <c r="P38" s="35" t="s">
        <v>29</v>
      </c>
      <c r="Q38" s="35"/>
    </row>
    <row r="39" ht="15.75" customHeight="1">
      <c r="A39" s="35" t="s">
        <v>29</v>
      </c>
      <c r="B39" s="35" t="s">
        <v>115</v>
      </c>
      <c r="C39" s="35">
        <v>18.0</v>
      </c>
      <c r="D39" s="35" t="s">
        <v>276</v>
      </c>
      <c r="E39" s="35" t="s">
        <v>246</v>
      </c>
      <c r="F39" s="35" t="s">
        <v>300</v>
      </c>
      <c r="G39" s="35" t="s">
        <v>301</v>
      </c>
      <c r="H39" s="35">
        <v>5.0</v>
      </c>
      <c r="I39" s="35"/>
      <c r="J39" s="35"/>
      <c r="K39" s="35" t="s">
        <v>142</v>
      </c>
      <c r="L39" s="35" t="s">
        <v>179</v>
      </c>
      <c r="M39" s="35"/>
      <c r="N39" s="35"/>
      <c r="O39" s="35"/>
      <c r="P39" s="35" t="s">
        <v>29</v>
      </c>
      <c r="Q39" s="35"/>
    </row>
    <row r="40" ht="15.75" customHeight="1">
      <c r="A40" s="35" t="s">
        <v>29</v>
      </c>
      <c r="B40" s="35" t="s">
        <v>115</v>
      </c>
      <c r="C40" s="35">
        <v>19.0</v>
      </c>
      <c r="D40" s="35" t="s">
        <v>276</v>
      </c>
      <c r="E40" s="35" t="s">
        <v>246</v>
      </c>
      <c r="F40" s="35" t="s">
        <v>302</v>
      </c>
      <c r="G40" s="35" t="s">
        <v>303</v>
      </c>
      <c r="H40" s="35">
        <v>5.0</v>
      </c>
      <c r="I40" s="35"/>
      <c r="J40" s="35"/>
      <c r="K40" s="35" t="s">
        <v>142</v>
      </c>
      <c r="L40" s="35" t="s">
        <v>179</v>
      </c>
      <c r="M40" s="35"/>
      <c r="N40" s="35"/>
      <c r="O40" s="35"/>
      <c r="P40" s="35" t="s">
        <v>29</v>
      </c>
      <c r="Q40" s="35"/>
    </row>
    <row r="41" ht="15.75" customHeight="1">
      <c r="A41" s="35" t="s">
        <v>29</v>
      </c>
      <c r="B41" s="35" t="s">
        <v>115</v>
      </c>
      <c r="C41" s="35">
        <v>20.0</v>
      </c>
      <c r="D41" s="35" t="s">
        <v>276</v>
      </c>
      <c r="E41" s="35" t="s">
        <v>252</v>
      </c>
      <c r="F41" s="35" t="s">
        <v>304</v>
      </c>
      <c r="G41" s="35" t="s">
        <v>305</v>
      </c>
      <c r="H41" s="35">
        <v>5.0</v>
      </c>
      <c r="I41" s="35"/>
      <c r="J41" s="35"/>
      <c r="K41" s="35" t="s">
        <v>157</v>
      </c>
      <c r="L41" s="35" t="s">
        <v>179</v>
      </c>
      <c r="M41" s="35"/>
      <c r="N41" s="35"/>
      <c r="O41" s="35"/>
      <c r="P41" s="35" t="s">
        <v>29</v>
      </c>
      <c r="Q41" s="35"/>
    </row>
    <row r="42" ht="15.75" customHeight="1">
      <c r="A42" s="35" t="s">
        <v>33</v>
      </c>
      <c r="B42" s="35" t="s">
        <v>116</v>
      </c>
      <c r="C42" s="35">
        <v>1.0</v>
      </c>
      <c r="D42" s="35" t="s">
        <v>229</v>
      </c>
      <c r="E42" s="35" t="s">
        <v>230</v>
      </c>
      <c r="F42" s="35" t="s">
        <v>231</v>
      </c>
      <c r="G42" s="35" t="s">
        <v>232</v>
      </c>
      <c r="H42" s="35">
        <v>5.0</v>
      </c>
      <c r="I42" s="35"/>
      <c r="J42" s="35"/>
      <c r="K42" s="35" t="s">
        <v>142</v>
      </c>
      <c r="L42" s="35" t="s">
        <v>170</v>
      </c>
      <c r="M42" s="35"/>
      <c r="N42" s="35"/>
      <c r="O42" s="35"/>
      <c r="P42" s="35" t="s">
        <v>33</v>
      </c>
      <c r="Q42" s="35"/>
    </row>
    <row r="43" ht="15.75" customHeight="1">
      <c r="A43" s="35" t="s">
        <v>33</v>
      </c>
      <c r="B43" s="35" t="s">
        <v>116</v>
      </c>
      <c r="C43" s="35">
        <v>2.0</v>
      </c>
      <c r="D43" s="35" t="s">
        <v>229</v>
      </c>
      <c r="E43" s="35" t="s">
        <v>233</v>
      </c>
      <c r="F43" s="35" t="s">
        <v>234</v>
      </c>
      <c r="G43" s="35" t="s">
        <v>235</v>
      </c>
      <c r="H43" s="35">
        <v>5.0</v>
      </c>
      <c r="I43" s="35"/>
      <c r="J43" s="35"/>
      <c r="K43" s="35" t="s">
        <v>166</v>
      </c>
      <c r="L43" s="35" t="s">
        <v>191</v>
      </c>
      <c r="M43" s="35"/>
      <c r="N43" s="35"/>
      <c r="O43" s="35"/>
      <c r="P43" s="35" t="s">
        <v>33</v>
      </c>
      <c r="Q43" s="35"/>
    </row>
    <row r="44" ht="15.75" customHeight="1">
      <c r="A44" s="35" t="s">
        <v>33</v>
      </c>
      <c r="B44" s="35" t="s">
        <v>116</v>
      </c>
      <c r="C44" s="35">
        <v>3.0</v>
      </c>
      <c r="D44" s="35" t="s">
        <v>229</v>
      </c>
      <c r="E44" s="35" t="s">
        <v>236</v>
      </c>
      <c r="F44" s="35" t="s">
        <v>237</v>
      </c>
      <c r="G44" s="35" t="s">
        <v>238</v>
      </c>
      <c r="H44" s="35">
        <v>5.0</v>
      </c>
      <c r="I44" s="35"/>
      <c r="J44" s="35"/>
      <c r="K44" s="35" t="s">
        <v>166</v>
      </c>
      <c r="L44" s="35" t="s">
        <v>191</v>
      </c>
      <c r="M44" s="35"/>
      <c r="N44" s="35"/>
      <c r="O44" s="35"/>
      <c r="P44" s="35" t="s">
        <v>33</v>
      </c>
      <c r="Q44" s="35"/>
    </row>
    <row r="45" ht="15.75" customHeight="1">
      <c r="A45" s="35" t="s">
        <v>33</v>
      </c>
      <c r="B45" s="35" t="s">
        <v>116</v>
      </c>
      <c r="C45" s="35">
        <v>4.0</v>
      </c>
      <c r="D45" s="35" t="s">
        <v>239</v>
      </c>
      <c r="E45" s="35" t="s">
        <v>240</v>
      </c>
      <c r="F45" s="35" t="s">
        <v>241</v>
      </c>
      <c r="G45" s="35" t="s">
        <v>242</v>
      </c>
      <c r="H45" s="35">
        <v>5.0</v>
      </c>
      <c r="I45" s="35"/>
      <c r="J45" s="35"/>
      <c r="K45" s="35" t="s">
        <v>146</v>
      </c>
      <c r="L45" s="35" t="s">
        <v>173</v>
      </c>
      <c r="M45" s="35"/>
      <c r="N45" s="35"/>
      <c r="O45" s="35"/>
      <c r="P45" s="35" t="s">
        <v>33</v>
      </c>
      <c r="Q45" s="35"/>
    </row>
    <row r="46" ht="15.75" customHeight="1">
      <c r="A46" s="35" t="s">
        <v>33</v>
      </c>
      <c r="B46" s="35" t="s">
        <v>116</v>
      </c>
      <c r="C46" s="35">
        <v>5.0</v>
      </c>
      <c r="D46" s="35" t="s">
        <v>239</v>
      </c>
      <c r="E46" s="35" t="s">
        <v>240</v>
      </c>
      <c r="F46" s="35" t="s">
        <v>243</v>
      </c>
      <c r="G46" s="35" t="s">
        <v>244</v>
      </c>
      <c r="H46" s="35">
        <v>5.0</v>
      </c>
      <c r="I46" s="35"/>
      <c r="J46" s="35"/>
      <c r="K46" s="35" t="s">
        <v>146</v>
      </c>
      <c r="L46" s="35" t="s">
        <v>173</v>
      </c>
      <c r="M46" s="35"/>
      <c r="N46" s="35"/>
      <c r="O46" s="35"/>
      <c r="P46" s="35" t="s">
        <v>33</v>
      </c>
      <c r="Q46" s="35"/>
    </row>
    <row r="47" ht="15.75" customHeight="1">
      <c r="A47" s="35" t="s">
        <v>33</v>
      </c>
      <c r="B47" s="35" t="s">
        <v>116</v>
      </c>
      <c r="C47" s="35">
        <v>6.0</v>
      </c>
      <c r="D47" s="35" t="s">
        <v>245</v>
      </c>
      <c r="E47" s="35" t="s">
        <v>246</v>
      </c>
      <c r="F47" s="35" t="s">
        <v>247</v>
      </c>
      <c r="G47" s="35" t="s">
        <v>248</v>
      </c>
      <c r="H47" s="35">
        <v>5.0</v>
      </c>
      <c r="I47" s="35"/>
      <c r="J47" s="35"/>
      <c r="K47" s="35" t="s">
        <v>142</v>
      </c>
      <c r="L47" s="35" t="s">
        <v>179</v>
      </c>
      <c r="M47" s="35"/>
      <c r="N47" s="35"/>
      <c r="O47" s="35"/>
      <c r="P47" s="35" t="s">
        <v>33</v>
      </c>
      <c r="Q47" s="35"/>
    </row>
    <row r="48" ht="15.75" customHeight="1">
      <c r="A48" s="35" t="s">
        <v>33</v>
      </c>
      <c r="B48" s="35" t="s">
        <v>116</v>
      </c>
      <c r="C48" s="35">
        <v>7.0</v>
      </c>
      <c r="D48" s="35" t="s">
        <v>245</v>
      </c>
      <c r="E48" s="35" t="s">
        <v>246</v>
      </c>
      <c r="F48" s="35" t="s">
        <v>249</v>
      </c>
      <c r="G48" s="35" t="s">
        <v>250</v>
      </c>
      <c r="H48" s="35">
        <v>5.0</v>
      </c>
      <c r="I48" s="35"/>
      <c r="J48" s="35"/>
      <c r="K48" s="35" t="s">
        <v>142</v>
      </c>
      <c r="L48" s="35" t="s">
        <v>179</v>
      </c>
      <c r="M48" s="35"/>
      <c r="N48" s="35"/>
      <c r="O48" s="35"/>
      <c r="P48" s="35" t="s">
        <v>33</v>
      </c>
      <c r="Q48" s="35"/>
    </row>
    <row r="49" ht="15.75" customHeight="1">
      <c r="A49" s="35" t="s">
        <v>33</v>
      </c>
      <c r="B49" s="35" t="s">
        <v>116</v>
      </c>
      <c r="C49" s="35">
        <v>8.0</v>
      </c>
      <c r="D49" s="35" t="s">
        <v>251</v>
      </c>
      <c r="E49" s="35" t="s">
        <v>252</v>
      </c>
      <c r="F49" s="35" t="s">
        <v>253</v>
      </c>
      <c r="G49" s="35" t="s">
        <v>254</v>
      </c>
      <c r="H49" s="35">
        <v>5.0</v>
      </c>
      <c r="I49" s="35"/>
      <c r="J49" s="35"/>
      <c r="K49" s="35" t="s">
        <v>157</v>
      </c>
      <c r="L49" s="35" t="s">
        <v>179</v>
      </c>
      <c r="M49" s="35"/>
      <c r="N49" s="35"/>
      <c r="O49" s="35"/>
      <c r="P49" s="35" t="s">
        <v>33</v>
      </c>
      <c r="Q49" s="35"/>
    </row>
    <row r="50" ht="15.75" customHeight="1">
      <c r="A50" s="35" t="s">
        <v>33</v>
      </c>
      <c r="B50" s="35" t="s">
        <v>116</v>
      </c>
      <c r="C50" s="35">
        <v>9.0</v>
      </c>
      <c r="D50" s="35" t="s">
        <v>251</v>
      </c>
      <c r="E50" s="35" t="s">
        <v>252</v>
      </c>
      <c r="F50" s="35" t="s">
        <v>255</v>
      </c>
      <c r="G50" s="35" t="s">
        <v>256</v>
      </c>
      <c r="H50" s="35">
        <v>5.0</v>
      </c>
      <c r="I50" s="35"/>
      <c r="J50" s="35"/>
      <c r="K50" s="35" t="s">
        <v>157</v>
      </c>
      <c r="L50" s="35" t="s">
        <v>179</v>
      </c>
      <c r="M50" s="35"/>
      <c r="N50" s="35"/>
      <c r="O50" s="35"/>
      <c r="P50" s="35" t="s">
        <v>33</v>
      </c>
      <c r="Q50" s="35"/>
    </row>
    <row r="51" ht="15.75" customHeight="1">
      <c r="A51" s="35" t="s">
        <v>33</v>
      </c>
      <c r="B51" s="35" t="s">
        <v>116</v>
      </c>
      <c r="C51" s="35">
        <v>10.0</v>
      </c>
      <c r="D51" s="35" t="s">
        <v>257</v>
      </c>
      <c r="E51" s="35" t="s">
        <v>258</v>
      </c>
      <c r="F51" s="35" t="s">
        <v>259</v>
      </c>
      <c r="G51" s="35" t="s">
        <v>260</v>
      </c>
      <c r="H51" s="35">
        <v>5.0</v>
      </c>
      <c r="I51" s="35"/>
      <c r="J51" s="35"/>
      <c r="K51" s="35" t="s">
        <v>150</v>
      </c>
      <c r="L51" s="35" t="s">
        <v>182</v>
      </c>
      <c r="M51" s="35"/>
      <c r="N51" s="35"/>
      <c r="O51" s="35"/>
      <c r="P51" s="35" t="s">
        <v>33</v>
      </c>
      <c r="Q51" s="35"/>
    </row>
    <row r="52" ht="15.75" customHeight="1">
      <c r="A52" s="35" t="s">
        <v>33</v>
      </c>
      <c r="B52" s="35" t="s">
        <v>116</v>
      </c>
      <c r="C52" s="35">
        <v>11.0</v>
      </c>
      <c r="D52" s="35" t="s">
        <v>257</v>
      </c>
      <c r="E52" s="35" t="s">
        <v>258</v>
      </c>
      <c r="F52" s="35" t="s">
        <v>261</v>
      </c>
      <c r="G52" s="35" t="s">
        <v>262</v>
      </c>
      <c r="H52" s="35">
        <v>5.0</v>
      </c>
      <c r="I52" s="35"/>
      <c r="J52" s="35"/>
      <c r="K52" s="35" t="s">
        <v>150</v>
      </c>
      <c r="L52" s="35" t="s">
        <v>182</v>
      </c>
      <c r="M52" s="35"/>
      <c r="N52" s="35"/>
      <c r="O52" s="35"/>
      <c r="P52" s="35" t="s">
        <v>33</v>
      </c>
      <c r="Q52" s="35"/>
    </row>
    <row r="53" ht="15.75" customHeight="1">
      <c r="A53" s="35" t="s">
        <v>33</v>
      </c>
      <c r="B53" s="35" t="s">
        <v>116</v>
      </c>
      <c r="C53" s="35">
        <v>12.0</v>
      </c>
      <c r="D53" s="35" t="s">
        <v>263</v>
      </c>
      <c r="E53" s="35" t="s">
        <v>264</v>
      </c>
      <c r="F53" s="35" t="s">
        <v>265</v>
      </c>
      <c r="G53" s="35" t="s">
        <v>266</v>
      </c>
      <c r="H53" s="35">
        <v>5.0</v>
      </c>
      <c r="I53" s="35"/>
      <c r="J53" s="35"/>
      <c r="K53" s="35" t="s">
        <v>150</v>
      </c>
      <c r="L53" s="35" t="s">
        <v>182</v>
      </c>
      <c r="M53" s="35"/>
      <c r="N53" s="35"/>
      <c r="O53" s="35"/>
      <c r="P53" s="35" t="s">
        <v>33</v>
      </c>
      <c r="Q53" s="35"/>
    </row>
    <row r="54" ht="15.75" customHeight="1">
      <c r="A54" s="35" t="s">
        <v>33</v>
      </c>
      <c r="B54" s="35" t="s">
        <v>116</v>
      </c>
      <c r="C54" s="35">
        <v>13.0</v>
      </c>
      <c r="D54" s="35" t="s">
        <v>263</v>
      </c>
      <c r="E54" s="35" t="s">
        <v>267</v>
      </c>
      <c r="F54" s="35" t="s">
        <v>268</v>
      </c>
      <c r="G54" s="35" t="s">
        <v>269</v>
      </c>
      <c r="H54" s="35">
        <v>5.0</v>
      </c>
      <c r="I54" s="35"/>
      <c r="J54" s="35"/>
      <c r="K54" s="35" t="s">
        <v>160</v>
      </c>
      <c r="L54" s="35" t="s">
        <v>188</v>
      </c>
      <c r="M54" s="35"/>
      <c r="N54" s="35"/>
      <c r="O54" s="35"/>
      <c r="P54" s="35" t="s">
        <v>33</v>
      </c>
      <c r="Q54" s="35"/>
    </row>
    <row r="55" ht="15.75" customHeight="1">
      <c r="A55" s="35" t="s">
        <v>33</v>
      </c>
      <c r="B55" s="35" t="s">
        <v>116</v>
      </c>
      <c r="C55" s="35">
        <v>14.0</v>
      </c>
      <c r="D55" s="35" t="s">
        <v>270</v>
      </c>
      <c r="E55" s="35" t="s">
        <v>271</v>
      </c>
      <c r="F55" s="35" t="s">
        <v>272</v>
      </c>
      <c r="G55" s="35" t="s">
        <v>273</v>
      </c>
      <c r="H55" s="35">
        <v>5.0</v>
      </c>
      <c r="I55" s="35"/>
      <c r="J55" s="35"/>
      <c r="K55" s="35" t="s">
        <v>146</v>
      </c>
      <c r="L55" s="35" t="s">
        <v>188</v>
      </c>
      <c r="M55" s="35"/>
      <c r="N55" s="35"/>
      <c r="O55" s="35"/>
      <c r="P55" s="35" t="s">
        <v>33</v>
      </c>
      <c r="Q55" s="35"/>
    </row>
    <row r="56" ht="15.75" customHeight="1">
      <c r="A56" s="35" t="s">
        <v>33</v>
      </c>
      <c r="B56" s="35" t="s">
        <v>116</v>
      </c>
      <c r="C56" s="35">
        <v>15.0</v>
      </c>
      <c r="D56" s="35" t="s">
        <v>270</v>
      </c>
      <c r="E56" s="35" t="s">
        <v>246</v>
      </c>
      <c r="F56" s="35" t="s">
        <v>274</v>
      </c>
      <c r="G56" s="35" t="s">
        <v>275</v>
      </c>
      <c r="H56" s="35">
        <v>5.0</v>
      </c>
      <c r="I56" s="35"/>
      <c r="J56" s="35"/>
      <c r="K56" s="35" t="s">
        <v>142</v>
      </c>
      <c r="L56" s="35" t="s">
        <v>179</v>
      </c>
      <c r="M56" s="35"/>
      <c r="N56" s="35"/>
      <c r="O56" s="35"/>
      <c r="P56" s="35" t="s">
        <v>33</v>
      </c>
      <c r="Q56" s="35"/>
    </row>
    <row r="57" ht="15.75" customHeight="1">
      <c r="A57" s="35" t="s">
        <v>33</v>
      </c>
      <c r="B57" s="35" t="s">
        <v>116</v>
      </c>
      <c r="C57" s="35">
        <v>16.0</v>
      </c>
      <c r="D57" s="35" t="s">
        <v>276</v>
      </c>
      <c r="E57" s="35" t="s">
        <v>240</v>
      </c>
      <c r="F57" s="35" t="s">
        <v>308</v>
      </c>
      <c r="G57" s="35" t="s">
        <v>309</v>
      </c>
      <c r="H57" s="35">
        <v>5.0</v>
      </c>
      <c r="I57" s="35"/>
      <c r="J57" s="35"/>
      <c r="K57" s="35" t="s">
        <v>146</v>
      </c>
      <c r="L57" s="35" t="s">
        <v>173</v>
      </c>
      <c r="M57" s="35"/>
      <c r="N57" s="35"/>
      <c r="O57" s="35"/>
      <c r="P57" s="35" t="s">
        <v>33</v>
      </c>
      <c r="Q57" s="35"/>
    </row>
    <row r="58" ht="15.75" customHeight="1">
      <c r="A58" s="35" t="s">
        <v>33</v>
      </c>
      <c r="B58" s="35" t="s">
        <v>116</v>
      </c>
      <c r="C58" s="35">
        <v>17.0</v>
      </c>
      <c r="D58" s="35" t="s">
        <v>276</v>
      </c>
      <c r="E58" s="35" t="s">
        <v>240</v>
      </c>
      <c r="F58" s="35" t="s">
        <v>310</v>
      </c>
      <c r="G58" s="35" t="s">
        <v>311</v>
      </c>
      <c r="H58" s="35">
        <v>5.0</v>
      </c>
      <c r="I58" s="35"/>
      <c r="J58" s="35"/>
      <c r="K58" s="35" t="s">
        <v>146</v>
      </c>
      <c r="L58" s="35" t="s">
        <v>173</v>
      </c>
      <c r="M58" s="35"/>
      <c r="N58" s="35"/>
      <c r="O58" s="35"/>
      <c r="P58" s="35" t="s">
        <v>33</v>
      </c>
      <c r="Q58" s="35"/>
    </row>
    <row r="59" ht="15.75" customHeight="1">
      <c r="A59" s="35" t="s">
        <v>33</v>
      </c>
      <c r="B59" s="35" t="s">
        <v>116</v>
      </c>
      <c r="C59" s="35">
        <v>18.0</v>
      </c>
      <c r="D59" s="35" t="s">
        <v>276</v>
      </c>
      <c r="E59" s="35" t="s">
        <v>240</v>
      </c>
      <c r="F59" s="35" t="s">
        <v>312</v>
      </c>
      <c r="G59" s="35" t="s">
        <v>313</v>
      </c>
      <c r="H59" s="35">
        <v>5.0</v>
      </c>
      <c r="I59" s="35"/>
      <c r="J59" s="35"/>
      <c r="K59" s="35" t="s">
        <v>146</v>
      </c>
      <c r="L59" s="35" t="s">
        <v>173</v>
      </c>
      <c r="M59" s="35"/>
      <c r="N59" s="35"/>
      <c r="O59" s="35"/>
      <c r="P59" s="35" t="s">
        <v>33</v>
      </c>
      <c r="Q59" s="35"/>
    </row>
    <row r="60" ht="15.75" customHeight="1">
      <c r="A60" s="35" t="s">
        <v>33</v>
      </c>
      <c r="B60" s="35" t="s">
        <v>116</v>
      </c>
      <c r="C60" s="35">
        <v>19.0</v>
      </c>
      <c r="D60" s="35" t="s">
        <v>276</v>
      </c>
      <c r="E60" s="35" t="s">
        <v>233</v>
      </c>
      <c r="F60" s="35" t="s">
        <v>314</v>
      </c>
      <c r="G60" s="35" t="s">
        <v>315</v>
      </c>
      <c r="H60" s="35">
        <v>5.0</v>
      </c>
      <c r="I60" s="35"/>
      <c r="J60" s="35"/>
      <c r="K60" s="35" t="s">
        <v>166</v>
      </c>
      <c r="L60" s="35" t="s">
        <v>191</v>
      </c>
      <c r="M60" s="35"/>
      <c r="N60" s="35"/>
      <c r="O60" s="35"/>
      <c r="P60" s="35" t="s">
        <v>33</v>
      </c>
      <c r="Q60" s="35"/>
    </row>
    <row r="61" ht="15.75" customHeight="1">
      <c r="A61" s="35" t="s">
        <v>33</v>
      </c>
      <c r="B61" s="35" t="s">
        <v>116</v>
      </c>
      <c r="C61" s="35">
        <v>20.0</v>
      </c>
      <c r="D61" s="35" t="s">
        <v>276</v>
      </c>
      <c r="E61" s="35" t="s">
        <v>252</v>
      </c>
      <c r="F61" s="35" t="s">
        <v>316</v>
      </c>
      <c r="G61" s="35" t="s">
        <v>317</v>
      </c>
      <c r="H61" s="35">
        <v>5.0</v>
      </c>
      <c r="I61" s="35"/>
      <c r="J61" s="35"/>
      <c r="K61" s="35" t="s">
        <v>157</v>
      </c>
      <c r="L61" s="35" t="s">
        <v>179</v>
      </c>
      <c r="M61" s="35"/>
      <c r="N61" s="35"/>
      <c r="O61" s="35"/>
      <c r="P61" s="35" t="s">
        <v>33</v>
      </c>
      <c r="Q61" s="35"/>
    </row>
    <row r="62" ht="15.75" customHeight="1">
      <c r="A62" s="35" t="s">
        <v>25</v>
      </c>
      <c r="B62" s="35" t="s">
        <v>117</v>
      </c>
      <c r="C62" s="35">
        <v>1.0</v>
      </c>
      <c r="D62" s="35" t="s">
        <v>229</v>
      </c>
      <c r="E62" s="35" t="s">
        <v>230</v>
      </c>
      <c r="F62" s="35" t="s">
        <v>231</v>
      </c>
      <c r="G62" s="35" t="s">
        <v>232</v>
      </c>
      <c r="H62" s="35">
        <v>5.0</v>
      </c>
      <c r="I62" s="35"/>
      <c r="J62" s="35"/>
      <c r="K62" s="35" t="s">
        <v>142</v>
      </c>
      <c r="L62" s="35" t="s">
        <v>170</v>
      </c>
      <c r="M62" s="35"/>
      <c r="N62" s="35"/>
      <c r="O62" s="35"/>
      <c r="P62" s="35" t="s">
        <v>25</v>
      </c>
      <c r="Q62" s="35"/>
    </row>
    <row r="63" ht="15.75" customHeight="1">
      <c r="A63" s="35" t="s">
        <v>25</v>
      </c>
      <c r="B63" s="35" t="s">
        <v>117</v>
      </c>
      <c r="C63" s="35">
        <v>2.0</v>
      </c>
      <c r="D63" s="35" t="s">
        <v>229</v>
      </c>
      <c r="E63" s="35" t="s">
        <v>233</v>
      </c>
      <c r="F63" s="35" t="s">
        <v>234</v>
      </c>
      <c r="G63" s="35" t="s">
        <v>235</v>
      </c>
      <c r="H63" s="35">
        <v>5.0</v>
      </c>
      <c r="I63" s="35"/>
      <c r="J63" s="35"/>
      <c r="K63" s="35" t="s">
        <v>166</v>
      </c>
      <c r="L63" s="35" t="s">
        <v>191</v>
      </c>
      <c r="M63" s="35"/>
      <c r="N63" s="35"/>
      <c r="O63" s="35"/>
      <c r="P63" s="35" t="s">
        <v>25</v>
      </c>
      <c r="Q63" s="35"/>
    </row>
    <row r="64" ht="15.75" customHeight="1">
      <c r="A64" s="35" t="s">
        <v>25</v>
      </c>
      <c r="B64" s="35" t="s">
        <v>117</v>
      </c>
      <c r="C64" s="35">
        <v>3.0</v>
      </c>
      <c r="D64" s="35" t="s">
        <v>229</v>
      </c>
      <c r="E64" s="35" t="s">
        <v>236</v>
      </c>
      <c r="F64" s="35" t="s">
        <v>237</v>
      </c>
      <c r="G64" s="35" t="s">
        <v>238</v>
      </c>
      <c r="H64" s="35">
        <v>5.0</v>
      </c>
      <c r="I64" s="35"/>
      <c r="J64" s="35"/>
      <c r="K64" s="35" t="s">
        <v>166</v>
      </c>
      <c r="L64" s="35" t="s">
        <v>191</v>
      </c>
      <c r="M64" s="35"/>
      <c r="N64" s="35"/>
      <c r="O64" s="35"/>
      <c r="P64" s="35" t="s">
        <v>25</v>
      </c>
      <c r="Q64" s="35"/>
    </row>
    <row r="65" ht="15.75" customHeight="1">
      <c r="A65" s="35" t="s">
        <v>25</v>
      </c>
      <c r="B65" s="35" t="s">
        <v>117</v>
      </c>
      <c r="C65" s="35">
        <v>4.0</v>
      </c>
      <c r="D65" s="35" t="s">
        <v>239</v>
      </c>
      <c r="E65" s="35" t="s">
        <v>240</v>
      </c>
      <c r="F65" s="35" t="s">
        <v>241</v>
      </c>
      <c r="G65" s="35" t="s">
        <v>242</v>
      </c>
      <c r="H65" s="35">
        <v>5.0</v>
      </c>
      <c r="I65" s="35"/>
      <c r="J65" s="35"/>
      <c r="K65" s="35" t="s">
        <v>146</v>
      </c>
      <c r="L65" s="35" t="s">
        <v>173</v>
      </c>
      <c r="M65" s="35"/>
      <c r="N65" s="35"/>
      <c r="O65" s="35"/>
      <c r="P65" s="35" t="s">
        <v>25</v>
      </c>
      <c r="Q65" s="35"/>
    </row>
    <row r="66" ht="15.75" customHeight="1">
      <c r="A66" s="35" t="s">
        <v>25</v>
      </c>
      <c r="B66" s="35" t="s">
        <v>117</v>
      </c>
      <c r="C66" s="35">
        <v>5.0</v>
      </c>
      <c r="D66" s="35" t="s">
        <v>239</v>
      </c>
      <c r="E66" s="35" t="s">
        <v>240</v>
      </c>
      <c r="F66" s="35" t="s">
        <v>243</v>
      </c>
      <c r="G66" s="35" t="s">
        <v>244</v>
      </c>
      <c r="H66" s="35">
        <v>5.0</v>
      </c>
      <c r="I66" s="35"/>
      <c r="J66" s="35"/>
      <c r="K66" s="35" t="s">
        <v>146</v>
      </c>
      <c r="L66" s="35" t="s">
        <v>173</v>
      </c>
      <c r="M66" s="35"/>
      <c r="N66" s="35"/>
      <c r="O66" s="35"/>
      <c r="P66" s="35" t="s">
        <v>25</v>
      </c>
      <c r="Q66" s="35"/>
    </row>
    <row r="67" ht="15.75" customHeight="1">
      <c r="A67" s="35" t="s">
        <v>25</v>
      </c>
      <c r="B67" s="35" t="s">
        <v>117</v>
      </c>
      <c r="C67" s="35">
        <v>6.0</v>
      </c>
      <c r="D67" s="35" t="s">
        <v>245</v>
      </c>
      <c r="E67" s="35" t="s">
        <v>246</v>
      </c>
      <c r="F67" s="35" t="s">
        <v>247</v>
      </c>
      <c r="G67" s="35" t="s">
        <v>248</v>
      </c>
      <c r="H67" s="35">
        <v>5.0</v>
      </c>
      <c r="I67" s="35"/>
      <c r="J67" s="35"/>
      <c r="K67" s="35" t="s">
        <v>142</v>
      </c>
      <c r="L67" s="35" t="s">
        <v>179</v>
      </c>
      <c r="M67" s="35"/>
      <c r="N67" s="35"/>
      <c r="O67" s="35"/>
      <c r="P67" s="35" t="s">
        <v>25</v>
      </c>
      <c r="Q67" s="35"/>
    </row>
    <row r="68" ht="15.75" customHeight="1">
      <c r="A68" s="35" t="s">
        <v>25</v>
      </c>
      <c r="B68" s="35" t="s">
        <v>117</v>
      </c>
      <c r="C68" s="35">
        <v>7.0</v>
      </c>
      <c r="D68" s="35" t="s">
        <v>245</v>
      </c>
      <c r="E68" s="35" t="s">
        <v>246</v>
      </c>
      <c r="F68" s="35" t="s">
        <v>249</v>
      </c>
      <c r="G68" s="35" t="s">
        <v>250</v>
      </c>
      <c r="H68" s="35">
        <v>5.0</v>
      </c>
      <c r="I68" s="35"/>
      <c r="J68" s="35"/>
      <c r="K68" s="35" t="s">
        <v>142</v>
      </c>
      <c r="L68" s="35" t="s">
        <v>179</v>
      </c>
      <c r="M68" s="35"/>
      <c r="N68" s="35"/>
      <c r="O68" s="35"/>
      <c r="P68" s="35" t="s">
        <v>25</v>
      </c>
      <c r="Q68" s="35"/>
    </row>
    <row r="69" ht="15.75" customHeight="1">
      <c r="A69" s="35" t="s">
        <v>25</v>
      </c>
      <c r="B69" s="35" t="s">
        <v>117</v>
      </c>
      <c r="C69" s="35">
        <v>8.0</v>
      </c>
      <c r="D69" s="35" t="s">
        <v>251</v>
      </c>
      <c r="E69" s="35" t="s">
        <v>252</v>
      </c>
      <c r="F69" s="35" t="s">
        <v>253</v>
      </c>
      <c r="G69" s="35" t="s">
        <v>254</v>
      </c>
      <c r="H69" s="35">
        <v>5.0</v>
      </c>
      <c r="I69" s="35"/>
      <c r="J69" s="35"/>
      <c r="K69" s="35" t="s">
        <v>157</v>
      </c>
      <c r="L69" s="35" t="s">
        <v>179</v>
      </c>
      <c r="M69" s="35"/>
      <c r="N69" s="35"/>
      <c r="O69" s="35"/>
      <c r="P69" s="35" t="s">
        <v>25</v>
      </c>
      <c r="Q69" s="35"/>
    </row>
    <row r="70" ht="15.75" customHeight="1">
      <c r="A70" s="35" t="s">
        <v>25</v>
      </c>
      <c r="B70" s="35" t="s">
        <v>117</v>
      </c>
      <c r="C70" s="35">
        <v>9.0</v>
      </c>
      <c r="D70" s="35" t="s">
        <v>251</v>
      </c>
      <c r="E70" s="35" t="s">
        <v>252</v>
      </c>
      <c r="F70" s="35" t="s">
        <v>255</v>
      </c>
      <c r="G70" s="35" t="s">
        <v>256</v>
      </c>
      <c r="H70" s="35">
        <v>5.0</v>
      </c>
      <c r="I70" s="35"/>
      <c r="J70" s="35"/>
      <c r="K70" s="35" t="s">
        <v>157</v>
      </c>
      <c r="L70" s="35" t="s">
        <v>179</v>
      </c>
      <c r="M70" s="35"/>
      <c r="N70" s="35"/>
      <c r="O70" s="35"/>
      <c r="P70" s="35" t="s">
        <v>25</v>
      </c>
      <c r="Q70" s="35"/>
    </row>
    <row r="71" ht="15.75" customHeight="1">
      <c r="A71" s="35" t="s">
        <v>25</v>
      </c>
      <c r="B71" s="35" t="s">
        <v>117</v>
      </c>
      <c r="C71" s="35">
        <v>10.0</v>
      </c>
      <c r="D71" s="35" t="s">
        <v>257</v>
      </c>
      <c r="E71" s="35" t="s">
        <v>258</v>
      </c>
      <c r="F71" s="35" t="s">
        <v>259</v>
      </c>
      <c r="G71" s="35" t="s">
        <v>260</v>
      </c>
      <c r="H71" s="35">
        <v>5.0</v>
      </c>
      <c r="I71" s="35"/>
      <c r="J71" s="35"/>
      <c r="K71" s="35" t="s">
        <v>150</v>
      </c>
      <c r="L71" s="35" t="s">
        <v>182</v>
      </c>
      <c r="M71" s="35"/>
      <c r="N71" s="35"/>
      <c r="O71" s="35"/>
      <c r="P71" s="35" t="s">
        <v>25</v>
      </c>
      <c r="Q71" s="35"/>
    </row>
    <row r="72" ht="15.75" customHeight="1">
      <c r="A72" s="35" t="s">
        <v>25</v>
      </c>
      <c r="B72" s="35" t="s">
        <v>117</v>
      </c>
      <c r="C72" s="35">
        <v>11.0</v>
      </c>
      <c r="D72" s="35" t="s">
        <v>257</v>
      </c>
      <c r="E72" s="35" t="s">
        <v>258</v>
      </c>
      <c r="F72" s="35" t="s">
        <v>261</v>
      </c>
      <c r="G72" s="35" t="s">
        <v>262</v>
      </c>
      <c r="H72" s="35">
        <v>5.0</v>
      </c>
      <c r="I72" s="35"/>
      <c r="J72" s="35"/>
      <c r="K72" s="35" t="s">
        <v>150</v>
      </c>
      <c r="L72" s="35" t="s">
        <v>182</v>
      </c>
      <c r="M72" s="35"/>
      <c r="N72" s="35"/>
      <c r="O72" s="35"/>
      <c r="P72" s="35" t="s">
        <v>25</v>
      </c>
      <c r="Q72" s="35"/>
    </row>
    <row r="73" ht="15.75" customHeight="1">
      <c r="A73" s="35" t="s">
        <v>25</v>
      </c>
      <c r="B73" s="35" t="s">
        <v>117</v>
      </c>
      <c r="C73" s="35">
        <v>12.0</v>
      </c>
      <c r="D73" s="35" t="s">
        <v>263</v>
      </c>
      <c r="E73" s="35" t="s">
        <v>264</v>
      </c>
      <c r="F73" s="35" t="s">
        <v>265</v>
      </c>
      <c r="G73" s="35" t="s">
        <v>266</v>
      </c>
      <c r="H73" s="35">
        <v>5.0</v>
      </c>
      <c r="I73" s="35"/>
      <c r="J73" s="35"/>
      <c r="K73" s="35" t="s">
        <v>150</v>
      </c>
      <c r="L73" s="35" t="s">
        <v>182</v>
      </c>
      <c r="M73" s="35"/>
      <c r="N73" s="35"/>
      <c r="O73" s="35"/>
      <c r="P73" s="35" t="s">
        <v>25</v>
      </c>
      <c r="Q73" s="35"/>
    </row>
    <row r="74" ht="15.75" customHeight="1">
      <c r="A74" s="35" t="s">
        <v>25</v>
      </c>
      <c r="B74" s="35" t="s">
        <v>117</v>
      </c>
      <c r="C74" s="35">
        <v>13.0</v>
      </c>
      <c r="D74" s="35" t="s">
        <v>263</v>
      </c>
      <c r="E74" s="35" t="s">
        <v>267</v>
      </c>
      <c r="F74" s="35" t="s">
        <v>268</v>
      </c>
      <c r="G74" s="35" t="s">
        <v>269</v>
      </c>
      <c r="H74" s="35">
        <v>5.0</v>
      </c>
      <c r="I74" s="35"/>
      <c r="J74" s="35"/>
      <c r="K74" s="35" t="s">
        <v>160</v>
      </c>
      <c r="L74" s="35" t="s">
        <v>188</v>
      </c>
      <c r="M74" s="35"/>
      <c r="N74" s="35"/>
      <c r="O74" s="35"/>
      <c r="P74" s="35" t="s">
        <v>25</v>
      </c>
      <c r="Q74" s="35"/>
    </row>
    <row r="75" ht="15.75" customHeight="1">
      <c r="A75" s="35" t="s">
        <v>25</v>
      </c>
      <c r="B75" s="35" t="s">
        <v>117</v>
      </c>
      <c r="C75" s="35">
        <v>14.0</v>
      </c>
      <c r="D75" s="35" t="s">
        <v>270</v>
      </c>
      <c r="E75" s="35" t="s">
        <v>271</v>
      </c>
      <c r="F75" s="35" t="s">
        <v>272</v>
      </c>
      <c r="G75" s="35" t="s">
        <v>273</v>
      </c>
      <c r="H75" s="35">
        <v>5.0</v>
      </c>
      <c r="I75" s="35"/>
      <c r="J75" s="35"/>
      <c r="K75" s="35" t="s">
        <v>146</v>
      </c>
      <c r="L75" s="35" t="s">
        <v>188</v>
      </c>
      <c r="M75" s="35"/>
      <c r="N75" s="35"/>
      <c r="O75" s="35"/>
      <c r="P75" s="35" t="s">
        <v>25</v>
      </c>
      <c r="Q75" s="35"/>
    </row>
    <row r="76" ht="15.75" customHeight="1">
      <c r="A76" s="35" t="s">
        <v>25</v>
      </c>
      <c r="B76" s="35" t="s">
        <v>117</v>
      </c>
      <c r="C76" s="35">
        <v>15.0</v>
      </c>
      <c r="D76" s="35" t="s">
        <v>270</v>
      </c>
      <c r="E76" s="35" t="s">
        <v>246</v>
      </c>
      <c r="F76" s="35" t="s">
        <v>274</v>
      </c>
      <c r="G76" s="35" t="s">
        <v>275</v>
      </c>
      <c r="H76" s="35">
        <v>5.0</v>
      </c>
      <c r="I76" s="35"/>
      <c r="J76" s="35"/>
      <c r="K76" s="35" t="s">
        <v>142</v>
      </c>
      <c r="L76" s="35" t="s">
        <v>179</v>
      </c>
      <c r="M76" s="35"/>
      <c r="N76" s="35"/>
      <c r="O76" s="35"/>
      <c r="P76" s="35" t="s">
        <v>25</v>
      </c>
      <c r="Q76" s="35"/>
    </row>
    <row r="77" ht="15.75" customHeight="1">
      <c r="A77" s="35" t="s">
        <v>25</v>
      </c>
      <c r="B77" s="35" t="s">
        <v>117</v>
      </c>
      <c r="C77" s="35">
        <v>16.0</v>
      </c>
      <c r="D77" s="35" t="s">
        <v>276</v>
      </c>
      <c r="E77" s="35" t="s">
        <v>258</v>
      </c>
      <c r="F77" s="35" t="s">
        <v>320</v>
      </c>
      <c r="G77" s="35" t="s">
        <v>321</v>
      </c>
      <c r="H77" s="35">
        <v>5.0</v>
      </c>
      <c r="I77" s="35"/>
      <c r="J77" s="35"/>
      <c r="K77" s="35" t="s">
        <v>150</v>
      </c>
      <c r="L77" s="35" t="s">
        <v>182</v>
      </c>
      <c r="M77" s="35"/>
      <c r="N77" s="35"/>
      <c r="O77" s="35"/>
      <c r="P77" s="35" t="s">
        <v>25</v>
      </c>
      <c r="Q77" s="35"/>
    </row>
    <row r="78" ht="15.75" customHeight="1">
      <c r="A78" s="35" t="s">
        <v>25</v>
      </c>
      <c r="B78" s="35" t="s">
        <v>117</v>
      </c>
      <c r="C78" s="35">
        <v>17.0</v>
      </c>
      <c r="D78" s="35" t="s">
        <v>276</v>
      </c>
      <c r="E78" s="35" t="s">
        <v>258</v>
      </c>
      <c r="F78" s="35" t="s">
        <v>322</v>
      </c>
      <c r="G78" s="35" t="s">
        <v>323</v>
      </c>
      <c r="H78" s="35">
        <v>5.0</v>
      </c>
      <c r="I78" s="35"/>
      <c r="J78" s="35"/>
      <c r="K78" s="35" t="s">
        <v>150</v>
      </c>
      <c r="L78" s="35" t="s">
        <v>182</v>
      </c>
      <c r="M78" s="35"/>
      <c r="N78" s="35"/>
      <c r="O78" s="35"/>
      <c r="P78" s="35" t="s">
        <v>25</v>
      </c>
      <c r="Q78" s="35"/>
    </row>
    <row r="79" ht="15.75" customHeight="1">
      <c r="A79" s="35" t="s">
        <v>25</v>
      </c>
      <c r="B79" s="35" t="s">
        <v>117</v>
      </c>
      <c r="C79" s="35">
        <v>18.0</v>
      </c>
      <c r="D79" s="35" t="s">
        <v>276</v>
      </c>
      <c r="E79" s="35" t="s">
        <v>264</v>
      </c>
      <c r="F79" s="35" t="s">
        <v>324</v>
      </c>
      <c r="G79" s="35" t="s">
        <v>325</v>
      </c>
      <c r="H79" s="35">
        <v>5.0</v>
      </c>
      <c r="I79" s="35"/>
      <c r="J79" s="35"/>
      <c r="K79" s="35" t="s">
        <v>150</v>
      </c>
      <c r="L79" s="35" t="s">
        <v>182</v>
      </c>
      <c r="M79" s="35"/>
      <c r="N79" s="35"/>
      <c r="O79" s="35"/>
      <c r="P79" s="35" t="s">
        <v>25</v>
      </c>
      <c r="Q79" s="35"/>
    </row>
    <row r="80" ht="15.75" customHeight="1">
      <c r="A80" s="35" t="s">
        <v>25</v>
      </c>
      <c r="B80" s="35" t="s">
        <v>117</v>
      </c>
      <c r="C80" s="35">
        <v>19.0</v>
      </c>
      <c r="D80" s="35" t="s">
        <v>276</v>
      </c>
      <c r="E80" s="35" t="s">
        <v>267</v>
      </c>
      <c r="F80" s="35" t="s">
        <v>326</v>
      </c>
      <c r="G80" s="35" t="s">
        <v>327</v>
      </c>
      <c r="H80" s="35">
        <v>5.0</v>
      </c>
      <c r="I80" s="35"/>
      <c r="J80" s="35"/>
      <c r="K80" s="35" t="s">
        <v>160</v>
      </c>
      <c r="L80" s="35" t="s">
        <v>188</v>
      </c>
      <c r="M80" s="35"/>
      <c r="N80" s="35"/>
      <c r="O80" s="35"/>
      <c r="P80" s="35" t="s">
        <v>25</v>
      </c>
      <c r="Q80" s="35"/>
    </row>
    <row r="81" ht="15.75" customHeight="1">
      <c r="A81" s="35" t="s">
        <v>25</v>
      </c>
      <c r="B81" s="35" t="s">
        <v>117</v>
      </c>
      <c r="C81" s="35">
        <v>20.0</v>
      </c>
      <c r="D81" s="35" t="s">
        <v>276</v>
      </c>
      <c r="E81" s="35" t="s">
        <v>258</v>
      </c>
      <c r="F81" s="35" t="s">
        <v>328</v>
      </c>
      <c r="G81" s="35" t="s">
        <v>329</v>
      </c>
      <c r="H81" s="35">
        <v>5.0</v>
      </c>
      <c r="I81" s="35"/>
      <c r="J81" s="35"/>
      <c r="K81" s="35" t="s">
        <v>150</v>
      </c>
      <c r="L81" s="35" t="s">
        <v>182</v>
      </c>
      <c r="M81" s="35"/>
      <c r="N81" s="35"/>
      <c r="O81" s="35"/>
      <c r="P81" s="35" t="s">
        <v>25</v>
      </c>
      <c r="Q81" s="35"/>
    </row>
    <row r="82" ht="15.75" customHeight="1">
      <c r="A82" s="35" t="s">
        <v>37</v>
      </c>
      <c r="B82" s="35" t="s">
        <v>118</v>
      </c>
      <c r="C82" s="35">
        <v>1.0</v>
      </c>
      <c r="D82" s="35" t="s">
        <v>229</v>
      </c>
      <c r="E82" s="35" t="s">
        <v>230</v>
      </c>
      <c r="F82" s="35" t="s">
        <v>231</v>
      </c>
      <c r="G82" s="35" t="s">
        <v>232</v>
      </c>
      <c r="H82" s="35">
        <v>5.0</v>
      </c>
      <c r="I82" s="35"/>
      <c r="J82" s="35"/>
      <c r="K82" s="35" t="s">
        <v>142</v>
      </c>
      <c r="L82" s="35" t="s">
        <v>170</v>
      </c>
      <c r="M82" s="35"/>
      <c r="N82" s="35"/>
      <c r="O82" s="35"/>
      <c r="P82" s="35" t="s">
        <v>37</v>
      </c>
      <c r="Q82" s="35"/>
    </row>
    <row r="83" ht="15.75" customHeight="1">
      <c r="A83" s="35" t="s">
        <v>37</v>
      </c>
      <c r="B83" s="35" t="s">
        <v>118</v>
      </c>
      <c r="C83" s="35">
        <v>2.0</v>
      </c>
      <c r="D83" s="35" t="s">
        <v>229</v>
      </c>
      <c r="E83" s="35" t="s">
        <v>233</v>
      </c>
      <c r="F83" s="35" t="s">
        <v>234</v>
      </c>
      <c r="G83" s="35" t="s">
        <v>235</v>
      </c>
      <c r="H83" s="35">
        <v>5.0</v>
      </c>
      <c r="I83" s="35"/>
      <c r="J83" s="35"/>
      <c r="K83" s="35" t="s">
        <v>166</v>
      </c>
      <c r="L83" s="35" t="s">
        <v>191</v>
      </c>
      <c r="M83" s="35"/>
      <c r="N83" s="35"/>
      <c r="O83" s="35"/>
      <c r="P83" s="35" t="s">
        <v>37</v>
      </c>
      <c r="Q83" s="35"/>
    </row>
    <row r="84" ht="15.75" customHeight="1">
      <c r="A84" s="35" t="s">
        <v>37</v>
      </c>
      <c r="B84" s="35" t="s">
        <v>118</v>
      </c>
      <c r="C84" s="35">
        <v>3.0</v>
      </c>
      <c r="D84" s="35" t="s">
        <v>229</v>
      </c>
      <c r="E84" s="35" t="s">
        <v>236</v>
      </c>
      <c r="F84" s="35" t="s">
        <v>237</v>
      </c>
      <c r="G84" s="35" t="s">
        <v>238</v>
      </c>
      <c r="H84" s="35">
        <v>5.0</v>
      </c>
      <c r="I84" s="35"/>
      <c r="J84" s="35"/>
      <c r="K84" s="35" t="s">
        <v>166</v>
      </c>
      <c r="L84" s="35" t="s">
        <v>191</v>
      </c>
      <c r="M84" s="35"/>
      <c r="N84" s="35"/>
      <c r="O84" s="35"/>
      <c r="P84" s="35" t="s">
        <v>37</v>
      </c>
      <c r="Q84" s="35"/>
    </row>
    <row r="85" ht="15.75" customHeight="1">
      <c r="A85" s="35" t="s">
        <v>37</v>
      </c>
      <c r="B85" s="35" t="s">
        <v>118</v>
      </c>
      <c r="C85" s="35">
        <v>4.0</v>
      </c>
      <c r="D85" s="35" t="s">
        <v>239</v>
      </c>
      <c r="E85" s="35" t="s">
        <v>240</v>
      </c>
      <c r="F85" s="35" t="s">
        <v>241</v>
      </c>
      <c r="G85" s="35" t="s">
        <v>242</v>
      </c>
      <c r="H85" s="35">
        <v>5.0</v>
      </c>
      <c r="I85" s="35"/>
      <c r="J85" s="35"/>
      <c r="K85" s="35" t="s">
        <v>146</v>
      </c>
      <c r="L85" s="35" t="s">
        <v>173</v>
      </c>
      <c r="M85" s="35"/>
      <c r="N85" s="35"/>
      <c r="O85" s="35"/>
      <c r="P85" s="35" t="s">
        <v>37</v>
      </c>
      <c r="Q85" s="35"/>
    </row>
    <row r="86" ht="15.75" customHeight="1">
      <c r="A86" s="35" t="s">
        <v>37</v>
      </c>
      <c r="B86" s="35" t="s">
        <v>118</v>
      </c>
      <c r="C86" s="35">
        <v>5.0</v>
      </c>
      <c r="D86" s="35" t="s">
        <v>239</v>
      </c>
      <c r="E86" s="35" t="s">
        <v>240</v>
      </c>
      <c r="F86" s="35" t="s">
        <v>243</v>
      </c>
      <c r="G86" s="35" t="s">
        <v>244</v>
      </c>
      <c r="H86" s="35">
        <v>5.0</v>
      </c>
      <c r="I86" s="35"/>
      <c r="J86" s="35"/>
      <c r="K86" s="35" t="s">
        <v>146</v>
      </c>
      <c r="L86" s="35" t="s">
        <v>173</v>
      </c>
      <c r="M86" s="35"/>
      <c r="N86" s="35"/>
      <c r="O86" s="35"/>
      <c r="P86" s="35" t="s">
        <v>37</v>
      </c>
      <c r="Q86" s="35"/>
    </row>
    <row r="87" ht="15.75" customHeight="1">
      <c r="A87" s="35" t="s">
        <v>37</v>
      </c>
      <c r="B87" s="35" t="s">
        <v>118</v>
      </c>
      <c r="C87" s="35">
        <v>6.0</v>
      </c>
      <c r="D87" s="35" t="s">
        <v>245</v>
      </c>
      <c r="E87" s="35" t="s">
        <v>246</v>
      </c>
      <c r="F87" s="35" t="s">
        <v>247</v>
      </c>
      <c r="G87" s="35" t="s">
        <v>248</v>
      </c>
      <c r="H87" s="35">
        <v>5.0</v>
      </c>
      <c r="I87" s="35"/>
      <c r="J87" s="35"/>
      <c r="K87" s="35" t="s">
        <v>142</v>
      </c>
      <c r="L87" s="35" t="s">
        <v>179</v>
      </c>
      <c r="M87" s="35"/>
      <c r="N87" s="35"/>
      <c r="O87" s="35"/>
      <c r="P87" s="35" t="s">
        <v>37</v>
      </c>
      <c r="Q87" s="35"/>
    </row>
    <row r="88" ht="15.75" customHeight="1">
      <c r="A88" s="35" t="s">
        <v>37</v>
      </c>
      <c r="B88" s="35" t="s">
        <v>118</v>
      </c>
      <c r="C88" s="35">
        <v>7.0</v>
      </c>
      <c r="D88" s="35" t="s">
        <v>245</v>
      </c>
      <c r="E88" s="35" t="s">
        <v>246</v>
      </c>
      <c r="F88" s="35" t="s">
        <v>249</v>
      </c>
      <c r="G88" s="35" t="s">
        <v>250</v>
      </c>
      <c r="H88" s="35">
        <v>5.0</v>
      </c>
      <c r="I88" s="35"/>
      <c r="J88" s="35"/>
      <c r="K88" s="35" t="s">
        <v>142</v>
      </c>
      <c r="L88" s="35" t="s">
        <v>179</v>
      </c>
      <c r="M88" s="35"/>
      <c r="N88" s="35"/>
      <c r="O88" s="35"/>
      <c r="P88" s="35" t="s">
        <v>37</v>
      </c>
      <c r="Q88" s="35"/>
    </row>
    <row r="89" ht="15.75" customHeight="1">
      <c r="A89" s="35" t="s">
        <v>37</v>
      </c>
      <c r="B89" s="35" t="s">
        <v>118</v>
      </c>
      <c r="C89" s="35">
        <v>8.0</v>
      </c>
      <c r="D89" s="35" t="s">
        <v>251</v>
      </c>
      <c r="E89" s="35" t="s">
        <v>252</v>
      </c>
      <c r="F89" s="35" t="s">
        <v>253</v>
      </c>
      <c r="G89" s="35" t="s">
        <v>254</v>
      </c>
      <c r="H89" s="35">
        <v>5.0</v>
      </c>
      <c r="I89" s="35"/>
      <c r="J89" s="35"/>
      <c r="K89" s="35" t="s">
        <v>157</v>
      </c>
      <c r="L89" s="35" t="s">
        <v>179</v>
      </c>
      <c r="M89" s="35"/>
      <c r="N89" s="35"/>
      <c r="O89" s="35"/>
      <c r="P89" s="35" t="s">
        <v>37</v>
      </c>
      <c r="Q89" s="35"/>
    </row>
    <row r="90" ht="15.75" customHeight="1">
      <c r="A90" s="35" t="s">
        <v>37</v>
      </c>
      <c r="B90" s="35" t="s">
        <v>118</v>
      </c>
      <c r="C90" s="35">
        <v>9.0</v>
      </c>
      <c r="D90" s="35" t="s">
        <v>251</v>
      </c>
      <c r="E90" s="35" t="s">
        <v>252</v>
      </c>
      <c r="F90" s="35" t="s">
        <v>255</v>
      </c>
      <c r="G90" s="35" t="s">
        <v>256</v>
      </c>
      <c r="H90" s="35">
        <v>5.0</v>
      </c>
      <c r="I90" s="35"/>
      <c r="J90" s="35"/>
      <c r="K90" s="35" t="s">
        <v>157</v>
      </c>
      <c r="L90" s="35" t="s">
        <v>179</v>
      </c>
      <c r="M90" s="35"/>
      <c r="N90" s="35"/>
      <c r="O90" s="35"/>
      <c r="P90" s="35" t="s">
        <v>37</v>
      </c>
      <c r="Q90" s="35"/>
    </row>
    <row r="91" ht="15.75" customHeight="1">
      <c r="A91" s="35" t="s">
        <v>37</v>
      </c>
      <c r="B91" s="35" t="s">
        <v>118</v>
      </c>
      <c r="C91" s="35">
        <v>10.0</v>
      </c>
      <c r="D91" s="35" t="s">
        <v>257</v>
      </c>
      <c r="E91" s="35" t="s">
        <v>258</v>
      </c>
      <c r="F91" s="35" t="s">
        <v>259</v>
      </c>
      <c r="G91" s="35" t="s">
        <v>260</v>
      </c>
      <c r="H91" s="35">
        <v>5.0</v>
      </c>
      <c r="I91" s="35"/>
      <c r="J91" s="35"/>
      <c r="K91" s="35" t="s">
        <v>150</v>
      </c>
      <c r="L91" s="35" t="s">
        <v>182</v>
      </c>
      <c r="M91" s="35"/>
      <c r="N91" s="35"/>
      <c r="O91" s="35"/>
      <c r="P91" s="35" t="s">
        <v>37</v>
      </c>
      <c r="Q91" s="35"/>
    </row>
    <row r="92" ht="15.75" customHeight="1">
      <c r="A92" s="35" t="s">
        <v>37</v>
      </c>
      <c r="B92" s="35" t="s">
        <v>118</v>
      </c>
      <c r="C92" s="35">
        <v>11.0</v>
      </c>
      <c r="D92" s="35" t="s">
        <v>257</v>
      </c>
      <c r="E92" s="35" t="s">
        <v>258</v>
      </c>
      <c r="F92" s="35" t="s">
        <v>261</v>
      </c>
      <c r="G92" s="35" t="s">
        <v>262</v>
      </c>
      <c r="H92" s="35">
        <v>5.0</v>
      </c>
      <c r="I92" s="35"/>
      <c r="J92" s="35"/>
      <c r="K92" s="35" t="s">
        <v>150</v>
      </c>
      <c r="L92" s="35" t="s">
        <v>182</v>
      </c>
      <c r="M92" s="35"/>
      <c r="N92" s="35"/>
      <c r="O92" s="35"/>
      <c r="P92" s="35" t="s">
        <v>37</v>
      </c>
      <c r="Q92" s="35"/>
    </row>
    <row r="93" ht="15.75" customHeight="1">
      <c r="A93" s="35" t="s">
        <v>37</v>
      </c>
      <c r="B93" s="35" t="s">
        <v>118</v>
      </c>
      <c r="C93" s="35">
        <v>12.0</v>
      </c>
      <c r="D93" s="35" t="s">
        <v>263</v>
      </c>
      <c r="E93" s="35" t="s">
        <v>264</v>
      </c>
      <c r="F93" s="35" t="s">
        <v>265</v>
      </c>
      <c r="G93" s="35" t="s">
        <v>266</v>
      </c>
      <c r="H93" s="35">
        <v>5.0</v>
      </c>
      <c r="I93" s="35"/>
      <c r="J93" s="35"/>
      <c r="K93" s="35" t="s">
        <v>150</v>
      </c>
      <c r="L93" s="35" t="s">
        <v>182</v>
      </c>
      <c r="M93" s="35"/>
      <c r="N93" s="35"/>
      <c r="O93" s="35"/>
      <c r="P93" s="35" t="s">
        <v>37</v>
      </c>
      <c r="Q93" s="35"/>
    </row>
    <row r="94" ht="15.75" customHeight="1">
      <c r="A94" s="35" t="s">
        <v>37</v>
      </c>
      <c r="B94" s="35" t="s">
        <v>118</v>
      </c>
      <c r="C94" s="35">
        <v>13.0</v>
      </c>
      <c r="D94" s="35" t="s">
        <v>263</v>
      </c>
      <c r="E94" s="35" t="s">
        <v>267</v>
      </c>
      <c r="F94" s="35" t="s">
        <v>268</v>
      </c>
      <c r="G94" s="35" t="s">
        <v>269</v>
      </c>
      <c r="H94" s="35">
        <v>5.0</v>
      </c>
      <c r="I94" s="35"/>
      <c r="J94" s="35"/>
      <c r="K94" s="35" t="s">
        <v>160</v>
      </c>
      <c r="L94" s="35" t="s">
        <v>188</v>
      </c>
      <c r="M94" s="35"/>
      <c r="N94" s="35"/>
      <c r="O94" s="35"/>
      <c r="P94" s="35" t="s">
        <v>37</v>
      </c>
      <c r="Q94" s="35"/>
    </row>
    <row r="95" ht="15.75" customHeight="1">
      <c r="A95" s="35" t="s">
        <v>37</v>
      </c>
      <c r="B95" s="35" t="s">
        <v>118</v>
      </c>
      <c r="C95" s="35">
        <v>14.0</v>
      </c>
      <c r="D95" s="35" t="s">
        <v>270</v>
      </c>
      <c r="E95" s="35" t="s">
        <v>271</v>
      </c>
      <c r="F95" s="35" t="s">
        <v>272</v>
      </c>
      <c r="G95" s="35" t="s">
        <v>273</v>
      </c>
      <c r="H95" s="35">
        <v>5.0</v>
      </c>
      <c r="I95" s="35"/>
      <c r="J95" s="35"/>
      <c r="K95" s="35" t="s">
        <v>146</v>
      </c>
      <c r="L95" s="35" t="s">
        <v>188</v>
      </c>
      <c r="M95" s="35"/>
      <c r="N95" s="35"/>
      <c r="O95" s="35"/>
      <c r="P95" s="35" t="s">
        <v>37</v>
      </c>
      <c r="Q95" s="35"/>
    </row>
    <row r="96" ht="15.75" customHeight="1">
      <c r="A96" s="35" t="s">
        <v>37</v>
      </c>
      <c r="B96" s="35" t="s">
        <v>118</v>
      </c>
      <c r="C96" s="35">
        <v>15.0</v>
      </c>
      <c r="D96" s="35" t="s">
        <v>270</v>
      </c>
      <c r="E96" s="35" t="s">
        <v>246</v>
      </c>
      <c r="F96" s="35" t="s">
        <v>274</v>
      </c>
      <c r="G96" s="35" t="s">
        <v>275</v>
      </c>
      <c r="H96" s="35">
        <v>5.0</v>
      </c>
      <c r="I96" s="35"/>
      <c r="J96" s="35"/>
      <c r="K96" s="35" t="s">
        <v>142</v>
      </c>
      <c r="L96" s="35" t="s">
        <v>179</v>
      </c>
      <c r="M96" s="35"/>
      <c r="N96" s="35"/>
      <c r="O96" s="35"/>
      <c r="P96" s="35" t="s">
        <v>37</v>
      </c>
      <c r="Q96" s="35"/>
    </row>
    <row r="97" ht="15.75" customHeight="1">
      <c r="A97" s="35" t="s">
        <v>37</v>
      </c>
      <c r="B97" s="35" t="s">
        <v>118</v>
      </c>
      <c r="C97" s="35">
        <v>16.0</v>
      </c>
      <c r="D97" s="35" t="s">
        <v>276</v>
      </c>
      <c r="E97" s="35" t="s">
        <v>271</v>
      </c>
      <c r="F97" s="35" t="s">
        <v>332</v>
      </c>
      <c r="G97" s="35" t="s">
        <v>333</v>
      </c>
      <c r="H97" s="35">
        <v>5.0</v>
      </c>
      <c r="I97" s="35"/>
      <c r="J97" s="35"/>
      <c r="K97" s="35" t="s">
        <v>146</v>
      </c>
      <c r="L97" s="35" t="s">
        <v>188</v>
      </c>
      <c r="M97" s="35"/>
      <c r="N97" s="35"/>
      <c r="O97" s="35"/>
      <c r="P97" s="35" t="s">
        <v>37</v>
      </c>
      <c r="Q97" s="35"/>
    </row>
    <row r="98" ht="15.75" customHeight="1">
      <c r="A98" s="35" t="s">
        <v>37</v>
      </c>
      <c r="B98" s="35" t="s">
        <v>118</v>
      </c>
      <c r="C98" s="35">
        <v>17.0</v>
      </c>
      <c r="D98" s="35" t="s">
        <v>276</v>
      </c>
      <c r="E98" s="35" t="s">
        <v>271</v>
      </c>
      <c r="F98" s="35" t="s">
        <v>334</v>
      </c>
      <c r="G98" s="35" t="s">
        <v>335</v>
      </c>
      <c r="H98" s="35">
        <v>5.0</v>
      </c>
      <c r="I98" s="35"/>
      <c r="J98" s="35"/>
      <c r="K98" s="35" t="s">
        <v>146</v>
      </c>
      <c r="L98" s="35" t="s">
        <v>188</v>
      </c>
      <c r="M98" s="35"/>
      <c r="N98" s="35"/>
      <c r="O98" s="35"/>
      <c r="P98" s="35" t="s">
        <v>37</v>
      </c>
      <c r="Q98" s="35"/>
    </row>
    <row r="99" ht="15.75" customHeight="1">
      <c r="A99" s="35" t="s">
        <v>37</v>
      </c>
      <c r="B99" s="35" t="s">
        <v>118</v>
      </c>
      <c r="C99" s="35">
        <v>18.0</v>
      </c>
      <c r="D99" s="35" t="s">
        <v>276</v>
      </c>
      <c r="E99" s="35" t="s">
        <v>271</v>
      </c>
      <c r="F99" s="35" t="s">
        <v>336</v>
      </c>
      <c r="G99" s="35" t="s">
        <v>337</v>
      </c>
      <c r="H99" s="35">
        <v>5.0</v>
      </c>
      <c r="I99" s="35"/>
      <c r="J99" s="35"/>
      <c r="K99" s="35" t="s">
        <v>146</v>
      </c>
      <c r="L99" s="35" t="s">
        <v>188</v>
      </c>
      <c r="M99" s="35"/>
      <c r="N99" s="35"/>
      <c r="O99" s="35"/>
      <c r="P99" s="35" t="s">
        <v>37</v>
      </c>
      <c r="Q99" s="35"/>
    </row>
    <row r="100" ht="15.75" customHeight="1">
      <c r="A100" s="35" t="s">
        <v>37</v>
      </c>
      <c r="B100" s="35" t="s">
        <v>118</v>
      </c>
      <c r="C100" s="35">
        <v>19.0</v>
      </c>
      <c r="D100" s="35" t="s">
        <v>276</v>
      </c>
      <c r="E100" s="35" t="s">
        <v>246</v>
      </c>
      <c r="F100" s="35" t="s">
        <v>338</v>
      </c>
      <c r="G100" s="35" t="s">
        <v>339</v>
      </c>
      <c r="H100" s="35">
        <v>5.0</v>
      </c>
      <c r="I100" s="35"/>
      <c r="J100" s="35"/>
      <c r="K100" s="35" t="s">
        <v>142</v>
      </c>
      <c r="L100" s="35" t="s">
        <v>179</v>
      </c>
      <c r="M100" s="35"/>
      <c r="N100" s="35"/>
      <c r="O100" s="35"/>
      <c r="P100" s="35" t="s">
        <v>37</v>
      </c>
      <c r="Q100" s="35"/>
    </row>
    <row r="101" ht="15.75" customHeight="1">
      <c r="A101" s="35" t="s">
        <v>37</v>
      </c>
      <c r="B101" s="35" t="s">
        <v>118</v>
      </c>
      <c r="C101" s="35">
        <v>20.0</v>
      </c>
      <c r="D101" s="35" t="s">
        <v>276</v>
      </c>
      <c r="E101" s="35" t="s">
        <v>267</v>
      </c>
      <c r="F101" s="35" t="s">
        <v>340</v>
      </c>
      <c r="G101" s="35" t="s">
        <v>341</v>
      </c>
      <c r="H101" s="35">
        <v>5.0</v>
      </c>
      <c r="I101" s="35"/>
      <c r="J101" s="35"/>
      <c r="K101" s="35" t="s">
        <v>160</v>
      </c>
      <c r="L101" s="35" t="s">
        <v>188</v>
      </c>
      <c r="M101" s="35"/>
      <c r="N101" s="35"/>
      <c r="O101" s="35"/>
      <c r="P101" s="35" t="s">
        <v>37</v>
      </c>
      <c r="Q101" s="35"/>
    </row>
    <row r="102" ht="15.75" customHeight="1">
      <c r="A102" s="35" t="s">
        <v>31</v>
      </c>
      <c r="B102" s="35" t="s">
        <v>119</v>
      </c>
      <c r="C102" s="35">
        <v>1.0</v>
      </c>
      <c r="D102" s="35" t="s">
        <v>229</v>
      </c>
      <c r="E102" s="35" t="s">
        <v>230</v>
      </c>
      <c r="F102" s="35" t="s">
        <v>231</v>
      </c>
      <c r="G102" s="35" t="s">
        <v>232</v>
      </c>
      <c r="H102" s="35">
        <v>5.0</v>
      </c>
      <c r="I102" s="35"/>
      <c r="J102" s="35"/>
      <c r="K102" s="35" t="s">
        <v>142</v>
      </c>
      <c r="L102" s="35" t="s">
        <v>170</v>
      </c>
      <c r="M102" s="35"/>
      <c r="N102" s="35"/>
      <c r="O102" s="35"/>
      <c r="P102" s="35" t="s">
        <v>31</v>
      </c>
      <c r="Q102" s="35"/>
    </row>
    <row r="103" ht="15.75" customHeight="1">
      <c r="A103" s="35" t="s">
        <v>31</v>
      </c>
      <c r="B103" s="35" t="s">
        <v>119</v>
      </c>
      <c r="C103" s="35">
        <v>2.0</v>
      </c>
      <c r="D103" s="35" t="s">
        <v>229</v>
      </c>
      <c r="E103" s="35" t="s">
        <v>233</v>
      </c>
      <c r="F103" s="35" t="s">
        <v>234</v>
      </c>
      <c r="G103" s="35" t="s">
        <v>235</v>
      </c>
      <c r="H103" s="35">
        <v>5.0</v>
      </c>
      <c r="I103" s="35"/>
      <c r="J103" s="35"/>
      <c r="K103" s="35" t="s">
        <v>166</v>
      </c>
      <c r="L103" s="35" t="s">
        <v>191</v>
      </c>
      <c r="M103" s="35"/>
      <c r="N103" s="35"/>
      <c r="O103" s="35"/>
      <c r="P103" s="35" t="s">
        <v>31</v>
      </c>
      <c r="Q103" s="35"/>
    </row>
    <row r="104" ht="15.75" customHeight="1">
      <c r="A104" s="35" t="s">
        <v>31</v>
      </c>
      <c r="B104" s="35" t="s">
        <v>119</v>
      </c>
      <c r="C104" s="35">
        <v>3.0</v>
      </c>
      <c r="D104" s="35" t="s">
        <v>229</v>
      </c>
      <c r="E104" s="35" t="s">
        <v>236</v>
      </c>
      <c r="F104" s="35" t="s">
        <v>237</v>
      </c>
      <c r="G104" s="35" t="s">
        <v>238</v>
      </c>
      <c r="H104" s="35">
        <v>5.0</v>
      </c>
      <c r="I104" s="35"/>
      <c r="J104" s="35"/>
      <c r="K104" s="35" t="s">
        <v>166</v>
      </c>
      <c r="L104" s="35" t="s">
        <v>191</v>
      </c>
      <c r="M104" s="35"/>
      <c r="N104" s="35"/>
      <c r="O104" s="35"/>
      <c r="P104" s="35" t="s">
        <v>31</v>
      </c>
      <c r="Q104" s="35"/>
    </row>
    <row r="105" ht="15.75" customHeight="1">
      <c r="A105" s="35" t="s">
        <v>31</v>
      </c>
      <c r="B105" s="35" t="s">
        <v>119</v>
      </c>
      <c r="C105" s="35">
        <v>4.0</v>
      </c>
      <c r="D105" s="35" t="s">
        <v>239</v>
      </c>
      <c r="E105" s="35" t="s">
        <v>240</v>
      </c>
      <c r="F105" s="35" t="s">
        <v>241</v>
      </c>
      <c r="G105" s="35" t="s">
        <v>242</v>
      </c>
      <c r="H105" s="35">
        <v>5.0</v>
      </c>
      <c r="I105" s="35"/>
      <c r="J105" s="35"/>
      <c r="K105" s="35" t="s">
        <v>146</v>
      </c>
      <c r="L105" s="35" t="s">
        <v>173</v>
      </c>
      <c r="M105" s="35"/>
      <c r="N105" s="35"/>
      <c r="O105" s="35"/>
      <c r="P105" s="35" t="s">
        <v>31</v>
      </c>
      <c r="Q105" s="35"/>
    </row>
    <row r="106" ht="15.75" customHeight="1">
      <c r="A106" s="35" t="s">
        <v>31</v>
      </c>
      <c r="B106" s="35" t="s">
        <v>119</v>
      </c>
      <c r="C106" s="35">
        <v>5.0</v>
      </c>
      <c r="D106" s="35" t="s">
        <v>239</v>
      </c>
      <c r="E106" s="35" t="s">
        <v>240</v>
      </c>
      <c r="F106" s="35" t="s">
        <v>243</v>
      </c>
      <c r="G106" s="35" t="s">
        <v>244</v>
      </c>
      <c r="H106" s="35">
        <v>5.0</v>
      </c>
      <c r="I106" s="35"/>
      <c r="J106" s="35"/>
      <c r="K106" s="35" t="s">
        <v>146</v>
      </c>
      <c r="L106" s="35" t="s">
        <v>173</v>
      </c>
      <c r="M106" s="35"/>
      <c r="N106" s="35"/>
      <c r="O106" s="35"/>
      <c r="P106" s="35" t="s">
        <v>31</v>
      </c>
      <c r="Q106" s="35"/>
    </row>
    <row r="107" ht="15.75" customHeight="1">
      <c r="A107" s="35" t="s">
        <v>31</v>
      </c>
      <c r="B107" s="35" t="s">
        <v>119</v>
      </c>
      <c r="C107" s="35">
        <v>6.0</v>
      </c>
      <c r="D107" s="35" t="s">
        <v>245</v>
      </c>
      <c r="E107" s="35" t="s">
        <v>246</v>
      </c>
      <c r="F107" s="35" t="s">
        <v>247</v>
      </c>
      <c r="G107" s="35" t="s">
        <v>248</v>
      </c>
      <c r="H107" s="35">
        <v>5.0</v>
      </c>
      <c r="I107" s="35"/>
      <c r="J107" s="35"/>
      <c r="K107" s="35" t="s">
        <v>142</v>
      </c>
      <c r="L107" s="35" t="s">
        <v>179</v>
      </c>
      <c r="M107" s="35"/>
      <c r="N107" s="35"/>
      <c r="O107" s="35"/>
      <c r="P107" s="35" t="s">
        <v>31</v>
      </c>
      <c r="Q107" s="35"/>
    </row>
    <row r="108" ht="15.75" customHeight="1">
      <c r="A108" s="35" t="s">
        <v>31</v>
      </c>
      <c r="B108" s="35" t="s">
        <v>119</v>
      </c>
      <c r="C108" s="35">
        <v>7.0</v>
      </c>
      <c r="D108" s="35" t="s">
        <v>245</v>
      </c>
      <c r="E108" s="35" t="s">
        <v>246</v>
      </c>
      <c r="F108" s="35" t="s">
        <v>249</v>
      </c>
      <c r="G108" s="35" t="s">
        <v>250</v>
      </c>
      <c r="H108" s="35">
        <v>5.0</v>
      </c>
      <c r="I108" s="35"/>
      <c r="J108" s="35"/>
      <c r="K108" s="35" t="s">
        <v>142</v>
      </c>
      <c r="L108" s="35" t="s">
        <v>179</v>
      </c>
      <c r="M108" s="35"/>
      <c r="N108" s="35"/>
      <c r="O108" s="35"/>
      <c r="P108" s="35" t="s">
        <v>31</v>
      </c>
      <c r="Q108" s="35"/>
    </row>
    <row r="109" ht="15.75" customHeight="1">
      <c r="A109" s="35" t="s">
        <v>31</v>
      </c>
      <c r="B109" s="35" t="s">
        <v>119</v>
      </c>
      <c r="C109" s="35">
        <v>8.0</v>
      </c>
      <c r="D109" s="35" t="s">
        <v>251</v>
      </c>
      <c r="E109" s="35" t="s">
        <v>252</v>
      </c>
      <c r="F109" s="35" t="s">
        <v>253</v>
      </c>
      <c r="G109" s="35" t="s">
        <v>254</v>
      </c>
      <c r="H109" s="35">
        <v>5.0</v>
      </c>
      <c r="I109" s="35"/>
      <c r="J109" s="35"/>
      <c r="K109" s="35" t="s">
        <v>157</v>
      </c>
      <c r="L109" s="35" t="s">
        <v>179</v>
      </c>
      <c r="M109" s="35"/>
      <c r="N109" s="35"/>
      <c r="O109" s="35"/>
      <c r="P109" s="35" t="s">
        <v>31</v>
      </c>
      <c r="Q109" s="35"/>
    </row>
    <row r="110" ht="15.75" customHeight="1">
      <c r="A110" s="35" t="s">
        <v>31</v>
      </c>
      <c r="B110" s="35" t="s">
        <v>119</v>
      </c>
      <c r="C110" s="35">
        <v>9.0</v>
      </c>
      <c r="D110" s="35" t="s">
        <v>251</v>
      </c>
      <c r="E110" s="35" t="s">
        <v>252</v>
      </c>
      <c r="F110" s="35" t="s">
        <v>255</v>
      </c>
      <c r="G110" s="35" t="s">
        <v>256</v>
      </c>
      <c r="H110" s="35">
        <v>5.0</v>
      </c>
      <c r="I110" s="35"/>
      <c r="J110" s="35"/>
      <c r="K110" s="35" t="s">
        <v>157</v>
      </c>
      <c r="L110" s="35" t="s">
        <v>179</v>
      </c>
      <c r="M110" s="35"/>
      <c r="N110" s="35"/>
      <c r="O110" s="35"/>
      <c r="P110" s="35" t="s">
        <v>31</v>
      </c>
      <c r="Q110" s="35"/>
    </row>
    <row r="111" ht="15.75" customHeight="1">
      <c r="A111" s="35" t="s">
        <v>31</v>
      </c>
      <c r="B111" s="35" t="s">
        <v>119</v>
      </c>
      <c r="C111" s="35">
        <v>10.0</v>
      </c>
      <c r="D111" s="35" t="s">
        <v>257</v>
      </c>
      <c r="E111" s="35" t="s">
        <v>258</v>
      </c>
      <c r="F111" s="35" t="s">
        <v>259</v>
      </c>
      <c r="G111" s="35" t="s">
        <v>260</v>
      </c>
      <c r="H111" s="35">
        <v>5.0</v>
      </c>
      <c r="I111" s="35"/>
      <c r="J111" s="35"/>
      <c r="K111" s="35" t="s">
        <v>150</v>
      </c>
      <c r="L111" s="35" t="s">
        <v>182</v>
      </c>
      <c r="M111" s="35"/>
      <c r="N111" s="35"/>
      <c r="O111" s="35"/>
      <c r="P111" s="35" t="s">
        <v>31</v>
      </c>
      <c r="Q111" s="35"/>
    </row>
    <row r="112" ht="15.75" customHeight="1">
      <c r="A112" s="35" t="s">
        <v>31</v>
      </c>
      <c r="B112" s="35" t="s">
        <v>119</v>
      </c>
      <c r="C112" s="35">
        <v>11.0</v>
      </c>
      <c r="D112" s="35" t="s">
        <v>257</v>
      </c>
      <c r="E112" s="35" t="s">
        <v>258</v>
      </c>
      <c r="F112" s="35" t="s">
        <v>261</v>
      </c>
      <c r="G112" s="35" t="s">
        <v>262</v>
      </c>
      <c r="H112" s="35">
        <v>5.0</v>
      </c>
      <c r="I112" s="35"/>
      <c r="J112" s="35"/>
      <c r="K112" s="35" t="s">
        <v>150</v>
      </c>
      <c r="L112" s="35" t="s">
        <v>182</v>
      </c>
      <c r="M112" s="35"/>
      <c r="N112" s="35"/>
      <c r="O112" s="35"/>
      <c r="P112" s="35" t="s">
        <v>31</v>
      </c>
      <c r="Q112" s="35"/>
    </row>
    <row r="113" ht="15.75" customHeight="1">
      <c r="A113" s="35" t="s">
        <v>31</v>
      </c>
      <c r="B113" s="35" t="s">
        <v>119</v>
      </c>
      <c r="C113" s="35">
        <v>12.0</v>
      </c>
      <c r="D113" s="35" t="s">
        <v>263</v>
      </c>
      <c r="E113" s="35" t="s">
        <v>264</v>
      </c>
      <c r="F113" s="35" t="s">
        <v>265</v>
      </c>
      <c r="G113" s="35" t="s">
        <v>266</v>
      </c>
      <c r="H113" s="35">
        <v>5.0</v>
      </c>
      <c r="I113" s="35"/>
      <c r="J113" s="35"/>
      <c r="K113" s="35" t="s">
        <v>150</v>
      </c>
      <c r="L113" s="35" t="s">
        <v>182</v>
      </c>
      <c r="M113" s="35"/>
      <c r="N113" s="35"/>
      <c r="O113" s="35"/>
      <c r="P113" s="35" t="s">
        <v>31</v>
      </c>
      <c r="Q113" s="35"/>
    </row>
    <row r="114" ht="15.75" customHeight="1">
      <c r="A114" s="35" t="s">
        <v>31</v>
      </c>
      <c r="B114" s="35" t="s">
        <v>119</v>
      </c>
      <c r="C114" s="35">
        <v>13.0</v>
      </c>
      <c r="D114" s="35" t="s">
        <v>263</v>
      </c>
      <c r="E114" s="35" t="s">
        <v>267</v>
      </c>
      <c r="F114" s="35" t="s">
        <v>268</v>
      </c>
      <c r="G114" s="35" t="s">
        <v>269</v>
      </c>
      <c r="H114" s="35">
        <v>5.0</v>
      </c>
      <c r="I114" s="35"/>
      <c r="J114" s="35"/>
      <c r="K114" s="35" t="s">
        <v>160</v>
      </c>
      <c r="L114" s="35" t="s">
        <v>188</v>
      </c>
      <c r="M114" s="35"/>
      <c r="N114" s="35"/>
      <c r="O114" s="35"/>
      <c r="P114" s="35" t="s">
        <v>31</v>
      </c>
      <c r="Q114" s="35"/>
    </row>
    <row r="115" ht="15.75" customHeight="1">
      <c r="A115" s="35" t="s">
        <v>31</v>
      </c>
      <c r="B115" s="35" t="s">
        <v>119</v>
      </c>
      <c r="C115" s="35">
        <v>14.0</v>
      </c>
      <c r="D115" s="35" t="s">
        <v>270</v>
      </c>
      <c r="E115" s="35" t="s">
        <v>271</v>
      </c>
      <c r="F115" s="35" t="s">
        <v>272</v>
      </c>
      <c r="G115" s="35" t="s">
        <v>273</v>
      </c>
      <c r="H115" s="35">
        <v>5.0</v>
      </c>
      <c r="I115" s="35"/>
      <c r="J115" s="35"/>
      <c r="K115" s="35" t="s">
        <v>146</v>
      </c>
      <c r="L115" s="35" t="s">
        <v>188</v>
      </c>
      <c r="M115" s="35"/>
      <c r="N115" s="35"/>
      <c r="O115" s="35"/>
      <c r="P115" s="35" t="s">
        <v>31</v>
      </c>
      <c r="Q115" s="35"/>
    </row>
    <row r="116" ht="15.75" customHeight="1">
      <c r="A116" s="35" t="s">
        <v>31</v>
      </c>
      <c r="B116" s="35" t="s">
        <v>119</v>
      </c>
      <c r="C116" s="35">
        <v>15.0</v>
      </c>
      <c r="D116" s="35" t="s">
        <v>270</v>
      </c>
      <c r="E116" s="35" t="s">
        <v>246</v>
      </c>
      <c r="F116" s="35" t="s">
        <v>274</v>
      </c>
      <c r="G116" s="35" t="s">
        <v>275</v>
      </c>
      <c r="H116" s="35">
        <v>5.0</v>
      </c>
      <c r="I116" s="35"/>
      <c r="J116" s="35"/>
      <c r="K116" s="35" t="s">
        <v>142</v>
      </c>
      <c r="L116" s="35" t="s">
        <v>179</v>
      </c>
      <c r="M116" s="35"/>
      <c r="N116" s="35"/>
      <c r="O116" s="35"/>
      <c r="P116" s="35" t="s">
        <v>31</v>
      </c>
      <c r="Q116" s="35"/>
    </row>
    <row r="117" ht="15.75" customHeight="1">
      <c r="A117" s="35" t="s">
        <v>31</v>
      </c>
      <c r="B117" s="35" t="s">
        <v>119</v>
      </c>
      <c r="C117" s="35">
        <v>16.0</v>
      </c>
      <c r="D117" s="35" t="s">
        <v>276</v>
      </c>
      <c r="E117" s="35" t="s">
        <v>233</v>
      </c>
      <c r="F117" s="35" t="s">
        <v>344</v>
      </c>
      <c r="G117" s="35" t="s">
        <v>345</v>
      </c>
      <c r="H117" s="35">
        <v>5.0</v>
      </c>
      <c r="I117" s="35"/>
      <c r="J117" s="35"/>
      <c r="K117" s="35" t="s">
        <v>166</v>
      </c>
      <c r="L117" s="35" t="s">
        <v>191</v>
      </c>
      <c r="M117" s="35"/>
      <c r="N117" s="35"/>
      <c r="O117" s="35"/>
      <c r="P117" s="35" t="s">
        <v>31</v>
      </c>
      <c r="Q117" s="35"/>
    </row>
    <row r="118" ht="15.75" customHeight="1">
      <c r="A118" s="35" t="s">
        <v>31</v>
      </c>
      <c r="B118" s="35" t="s">
        <v>119</v>
      </c>
      <c r="C118" s="35">
        <v>17.0</v>
      </c>
      <c r="D118" s="35" t="s">
        <v>276</v>
      </c>
      <c r="E118" s="35" t="s">
        <v>258</v>
      </c>
      <c r="F118" s="35" t="s">
        <v>346</v>
      </c>
      <c r="G118" s="35" t="s">
        <v>347</v>
      </c>
      <c r="H118" s="35">
        <v>5.0</v>
      </c>
      <c r="I118" s="35"/>
      <c r="J118" s="35"/>
      <c r="K118" s="35" t="s">
        <v>150</v>
      </c>
      <c r="L118" s="35" t="s">
        <v>182</v>
      </c>
      <c r="M118" s="35"/>
      <c r="N118" s="35"/>
      <c r="O118" s="35"/>
      <c r="P118" s="35" t="s">
        <v>31</v>
      </c>
      <c r="Q118" s="35"/>
    </row>
    <row r="119" ht="15.75" customHeight="1">
      <c r="A119" s="35" t="s">
        <v>31</v>
      </c>
      <c r="B119" s="35" t="s">
        <v>119</v>
      </c>
      <c r="C119" s="35">
        <v>18.0</v>
      </c>
      <c r="D119" s="35" t="s">
        <v>276</v>
      </c>
      <c r="E119" s="35" t="s">
        <v>258</v>
      </c>
      <c r="F119" s="35" t="s">
        <v>348</v>
      </c>
      <c r="G119" s="35" t="s">
        <v>349</v>
      </c>
      <c r="H119" s="35">
        <v>5.0</v>
      </c>
      <c r="I119" s="35"/>
      <c r="J119" s="35"/>
      <c r="K119" s="35" t="s">
        <v>150</v>
      </c>
      <c r="L119" s="35" t="s">
        <v>182</v>
      </c>
      <c r="M119" s="35"/>
      <c r="N119" s="35"/>
      <c r="O119" s="35"/>
      <c r="P119" s="35" t="s">
        <v>31</v>
      </c>
      <c r="Q119" s="35"/>
    </row>
    <row r="120" ht="15.75" customHeight="1">
      <c r="A120" s="35" t="s">
        <v>31</v>
      </c>
      <c r="B120" s="35" t="s">
        <v>119</v>
      </c>
      <c r="C120" s="35">
        <v>19.0</v>
      </c>
      <c r="D120" s="35" t="s">
        <v>276</v>
      </c>
      <c r="E120" s="35" t="s">
        <v>252</v>
      </c>
      <c r="F120" s="35" t="s">
        <v>350</v>
      </c>
      <c r="G120" s="35" t="s">
        <v>351</v>
      </c>
      <c r="H120" s="35">
        <v>5.0</v>
      </c>
      <c r="I120" s="35"/>
      <c r="J120" s="35"/>
      <c r="K120" s="35" t="s">
        <v>157</v>
      </c>
      <c r="L120" s="35" t="s">
        <v>179</v>
      </c>
      <c r="M120" s="35"/>
      <c r="N120" s="35"/>
      <c r="O120" s="35"/>
      <c r="P120" s="35" t="s">
        <v>31</v>
      </c>
      <c r="Q120" s="35"/>
    </row>
    <row r="121" ht="15.75" customHeight="1">
      <c r="A121" s="35" t="s">
        <v>31</v>
      </c>
      <c r="B121" s="35" t="s">
        <v>119</v>
      </c>
      <c r="C121" s="35">
        <v>20.0</v>
      </c>
      <c r="D121" s="35" t="s">
        <v>276</v>
      </c>
      <c r="E121" s="35" t="s">
        <v>246</v>
      </c>
      <c r="F121" s="35" t="s">
        <v>352</v>
      </c>
      <c r="G121" s="35" t="s">
        <v>353</v>
      </c>
      <c r="H121" s="35">
        <v>5.0</v>
      </c>
      <c r="I121" s="35"/>
      <c r="J121" s="35"/>
      <c r="K121" s="35" t="s">
        <v>142</v>
      </c>
      <c r="L121" s="35" t="s">
        <v>179</v>
      </c>
      <c r="M121" s="35"/>
      <c r="N121" s="35"/>
      <c r="O121" s="35"/>
      <c r="P121" s="35" t="s">
        <v>31</v>
      </c>
      <c r="Q121" s="35"/>
    </row>
    <row r="122" ht="15.75" customHeight="1">
      <c r="A122" s="35" t="s">
        <v>35</v>
      </c>
      <c r="B122" s="35" t="s">
        <v>120</v>
      </c>
      <c r="C122" s="35">
        <v>1.0</v>
      </c>
      <c r="D122" s="35" t="s">
        <v>229</v>
      </c>
      <c r="E122" s="35" t="s">
        <v>230</v>
      </c>
      <c r="F122" s="35" t="s">
        <v>231</v>
      </c>
      <c r="G122" s="35" t="s">
        <v>232</v>
      </c>
      <c r="H122" s="35">
        <v>5.0</v>
      </c>
      <c r="I122" s="35"/>
      <c r="J122" s="35"/>
      <c r="K122" s="35" t="s">
        <v>142</v>
      </c>
      <c r="L122" s="35" t="s">
        <v>170</v>
      </c>
      <c r="M122" s="35"/>
      <c r="N122" s="35"/>
      <c r="O122" s="35"/>
      <c r="P122" s="35" t="s">
        <v>35</v>
      </c>
      <c r="Q122" s="35"/>
    </row>
    <row r="123" ht="15.75" customHeight="1">
      <c r="A123" s="35" t="s">
        <v>35</v>
      </c>
      <c r="B123" s="35" t="s">
        <v>120</v>
      </c>
      <c r="C123" s="35">
        <v>2.0</v>
      </c>
      <c r="D123" s="35" t="s">
        <v>229</v>
      </c>
      <c r="E123" s="35" t="s">
        <v>233</v>
      </c>
      <c r="F123" s="35" t="s">
        <v>234</v>
      </c>
      <c r="G123" s="35" t="s">
        <v>235</v>
      </c>
      <c r="H123" s="35">
        <v>5.0</v>
      </c>
      <c r="I123" s="35"/>
      <c r="J123" s="35"/>
      <c r="K123" s="35" t="s">
        <v>166</v>
      </c>
      <c r="L123" s="35" t="s">
        <v>191</v>
      </c>
      <c r="M123" s="35"/>
      <c r="N123" s="35"/>
      <c r="O123" s="35"/>
      <c r="P123" s="35" t="s">
        <v>35</v>
      </c>
      <c r="Q123" s="35"/>
    </row>
    <row r="124" ht="15.75" customHeight="1">
      <c r="A124" s="35" t="s">
        <v>35</v>
      </c>
      <c r="B124" s="35" t="s">
        <v>120</v>
      </c>
      <c r="C124" s="35">
        <v>3.0</v>
      </c>
      <c r="D124" s="35" t="s">
        <v>229</v>
      </c>
      <c r="E124" s="35" t="s">
        <v>236</v>
      </c>
      <c r="F124" s="35" t="s">
        <v>237</v>
      </c>
      <c r="G124" s="35" t="s">
        <v>238</v>
      </c>
      <c r="H124" s="35">
        <v>5.0</v>
      </c>
      <c r="I124" s="35"/>
      <c r="J124" s="35"/>
      <c r="K124" s="35" t="s">
        <v>166</v>
      </c>
      <c r="L124" s="35" t="s">
        <v>191</v>
      </c>
      <c r="M124" s="35"/>
      <c r="N124" s="35"/>
      <c r="O124" s="35"/>
      <c r="P124" s="35" t="s">
        <v>35</v>
      </c>
      <c r="Q124" s="35"/>
    </row>
    <row r="125" ht="15.75" customHeight="1">
      <c r="A125" s="35" t="s">
        <v>35</v>
      </c>
      <c r="B125" s="35" t="s">
        <v>120</v>
      </c>
      <c r="C125" s="35">
        <v>4.0</v>
      </c>
      <c r="D125" s="35" t="s">
        <v>239</v>
      </c>
      <c r="E125" s="35" t="s">
        <v>240</v>
      </c>
      <c r="F125" s="35" t="s">
        <v>241</v>
      </c>
      <c r="G125" s="35" t="s">
        <v>242</v>
      </c>
      <c r="H125" s="35">
        <v>5.0</v>
      </c>
      <c r="I125" s="35"/>
      <c r="J125" s="35"/>
      <c r="K125" s="35" t="s">
        <v>146</v>
      </c>
      <c r="L125" s="35" t="s">
        <v>173</v>
      </c>
      <c r="M125" s="35"/>
      <c r="N125" s="35"/>
      <c r="O125" s="35"/>
      <c r="P125" s="35" t="s">
        <v>35</v>
      </c>
      <c r="Q125" s="35"/>
    </row>
    <row r="126" ht="15.75" customHeight="1">
      <c r="A126" s="35" t="s">
        <v>35</v>
      </c>
      <c r="B126" s="35" t="s">
        <v>120</v>
      </c>
      <c r="C126" s="35">
        <v>5.0</v>
      </c>
      <c r="D126" s="35" t="s">
        <v>239</v>
      </c>
      <c r="E126" s="35" t="s">
        <v>240</v>
      </c>
      <c r="F126" s="35" t="s">
        <v>243</v>
      </c>
      <c r="G126" s="35" t="s">
        <v>244</v>
      </c>
      <c r="H126" s="35">
        <v>5.0</v>
      </c>
      <c r="I126" s="35"/>
      <c r="J126" s="35"/>
      <c r="K126" s="35" t="s">
        <v>146</v>
      </c>
      <c r="L126" s="35" t="s">
        <v>173</v>
      </c>
      <c r="M126" s="35"/>
      <c r="N126" s="35"/>
      <c r="O126" s="35"/>
      <c r="P126" s="35" t="s">
        <v>35</v>
      </c>
      <c r="Q126" s="35"/>
    </row>
    <row r="127" ht="15.75" customHeight="1">
      <c r="A127" s="35" t="s">
        <v>35</v>
      </c>
      <c r="B127" s="35" t="s">
        <v>120</v>
      </c>
      <c r="C127" s="35">
        <v>6.0</v>
      </c>
      <c r="D127" s="35" t="s">
        <v>245</v>
      </c>
      <c r="E127" s="35" t="s">
        <v>246</v>
      </c>
      <c r="F127" s="35" t="s">
        <v>247</v>
      </c>
      <c r="G127" s="35" t="s">
        <v>248</v>
      </c>
      <c r="H127" s="35">
        <v>5.0</v>
      </c>
      <c r="I127" s="35"/>
      <c r="J127" s="35"/>
      <c r="K127" s="35" t="s">
        <v>142</v>
      </c>
      <c r="L127" s="35" t="s">
        <v>179</v>
      </c>
      <c r="M127" s="35"/>
      <c r="N127" s="35"/>
      <c r="O127" s="35"/>
      <c r="P127" s="35" t="s">
        <v>35</v>
      </c>
      <c r="Q127" s="35"/>
    </row>
    <row r="128" ht="15.75" customHeight="1">
      <c r="A128" s="35" t="s">
        <v>35</v>
      </c>
      <c r="B128" s="35" t="s">
        <v>120</v>
      </c>
      <c r="C128" s="35">
        <v>7.0</v>
      </c>
      <c r="D128" s="35" t="s">
        <v>245</v>
      </c>
      <c r="E128" s="35" t="s">
        <v>246</v>
      </c>
      <c r="F128" s="35" t="s">
        <v>249</v>
      </c>
      <c r="G128" s="35" t="s">
        <v>250</v>
      </c>
      <c r="H128" s="35">
        <v>5.0</v>
      </c>
      <c r="I128" s="35"/>
      <c r="J128" s="35"/>
      <c r="K128" s="35" t="s">
        <v>142</v>
      </c>
      <c r="L128" s="35" t="s">
        <v>179</v>
      </c>
      <c r="M128" s="35"/>
      <c r="N128" s="35"/>
      <c r="O128" s="35"/>
      <c r="P128" s="35" t="s">
        <v>35</v>
      </c>
      <c r="Q128" s="35"/>
    </row>
    <row r="129" ht="15.75" customHeight="1">
      <c r="A129" s="35" t="s">
        <v>35</v>
      </c>
      <c r="B129" s="35" t="s">
        <v>120</v>
      </c>
      <c r="C129" s="35">
        <v>8.0</v>
      </c>
      <c r="D129" s="35" t="s">
        <v>251</v>
      </c>
      <c r="E129" s="35" t="s">
        <v>252</v>
      </c>
      <c r="F129" s="35" t="s">
        <v>253</v>
      </c>
      <c r="G129" s="35" t="s">
        <v>254</v>
      </c>
      <c r="H129" s="35">
        <v>5.0</v>
      </c>
      <c r="I129" s="35"/>
      <c r="J129" s="35"/>
      <c r="K129" s="35" t="s">
        <v>157</v>
      </c>
      <c r="L129" s="35" t="s">
        <v>179</v>
      </c>
      <c r="M129" s="35"/>
      <c r="N129" s="35"/>
      <c r="O129" s="35"/>
      <c r="P129" s="35" t="s">
        <v>35</v>
      </c>
      <c r="Q129" s="35"/>
    </row>
    <row r="130" ht="15.75" customHeight="1">
      <c r="A130" s="35" t="s">
        <v>35</v>
      </c>
      <c r="B130" s="35" t="s">
        <v>120</v>
      </c>
      <c r="C130" s="35">
        <v>9.0</v>
      </c>
      <c r="D130" s="35" t="s">
        <v>251</v>
      </c>
      <c r="E130" s="35" t="s">
        <v>252</v>
      </c>
      <c r="F130" s="35" t="s">
        <v>255</v>
      </c>
      <c r="G130" s="35" t="s">
        <v>256</v>
      </c>
      <c r="H130" s="35">
        <v>5.0</v>
      </c>
      <c r="I130" s="35"/>
      <c r="J130" s="35"/>
      <c r="K130" s="35" t="s">
        <v>157</v>
      </c>
      <c r="L130" s="35" t="s">
        <v>179</v>
      </c>
      <c r="M130" s="35"/>
      <c r="N130" s="35"/>
      <c r="O130" s="35"/>
      <c r="P130" s="35" t="s">
        <v>35</v>
      </c>
      <c r="Q130" s="35"/>
    </row>
    <row r="131" ht="15.75" customHeight="1">
      <c r="A131" s="35" t="s">
        <v>35</v>
      </c>
      <c r="B131" s="35" t="s">
        <v>120</v>
      </c>
      <c r="C131" s="35">
        <v>10.0</v>
      </c>
      <c r="D131" s="35" t="s">
        <v>257</v>
      </c>
      <c r="E131" s="35" t="s">
        <v>258</v>
      </c>
      <c r="F131" s="35" t="s">
        <v>259</v>
      </c>
      <c r="G131" s="35" t="s">
        <v>260</v>
      </c>
      <c r="H131" s="35">
        <v>5.0</v>
      </c>
      <c r="I131" s="35"/>
      <c r="J131" s="35"/>
      <c r="K131" s="35" t="s">
        <v>150</v>
      </c>
      <c r="L131" s="35" t="s">
        <v>182</v>
      </c>
      <c r="M131" s="35"/>
      <c r="N131" s="35"/>
      <c r="O131" s="35"/>
      <c r="P131" s="35" t="s">
        <v>35</v>
      </c>
      <c r="Q131" s="35"/>
    </row>
    <row r="132" ht="15.75" customHeight="1">
      <c r="A132" s="35" t="s">
        <v>35</v>
      </c>
      <c r="B132" s="35" t="s">
        <v>120</v>
      </c>
      <c r="C132" s="35">
        <v>11.0</v>
      </c>
      <c r="D132" s="35" t="s">
        <v>257</v>
      </c>
      <c r="E132" s="35" t="s">
        <v>258</v>
      </c>
      <c r="F132" s="35" t="s">
        <v>261</v>
      </c>
      <c r="G132" s="35" t="s">
        <v>262</v>
      </c>
      <c r="H132" s="35">
        <v>5.0</v>
      </c>
      <c r="I132" s="35"/>
      <c r="J132" s="35"/>
      <c r="K132" s="35" t="s">
        <v>150</v>
      </c>
      <c r="L132" s="35" t="s">
        <v>182</v>
      </c>
      <c r="M132" s="35"/>
      <c r="N132" s="35"/>
      <c r="O132" s="35"/>
      <c r="P132" s="35" t="s">
        <v>35</v>
      </c>
      <c r="Q132" s="35"/>
    </row>
    <row r="133" ht="15.75" customHeight="1">
      <c r="A133" s="35" t="s">
        <v>35</v>
      </c>
      <c r="B133" s="35" t="s">
        <v>120</v>
      </c>
      <c r="C133" s="35">
        <v>12.0</v>
      </c>
      <c r="D133" s="35" t="s">
        <v>263</v>
      </c>
      <c r="E133" s="35" t="s">
        <v>264</v>
      </c>
      <c r="F133" s="35" t="s">
        <v>265</v>
      </c>
      <c r="G133" s="35" t="s">
        <v>266</v>
      </c>
      <c r="H133" s="35">
        <v>5.0</v>
      </c>
      <c r="I133" s="35"/>
      <c r="J133" s="35"/>
      <c r="K133" s="35" t="s">
        <v>150</v>
      </c>
      <c r="L133" s="35" t="s">
        <v>182</v>
      </c>
      <c r="M133" s="35"/>
      <c r="N133" s="35"/>
      <c r="O133" s="35"/>
      <c r="P133" s="35" t="s">
        <v>35</v>
      </c>
      <c r="Q133" s="35"/>
    </row>
    <row r="134" ht="15.75" customHeight="1">
      <c r="A134" s="35" t="s">
        <v>35</v>
      </c>
      <c r="B134" s="35" t="s">
        <v>120</v>
      </c>
      <c r="C134" s="35">
        <v>13.0</v>
      </c>
      <c r="D134" s="35" t="s">
        <v>263</v>
      </c>
      <c r="E134" s="35" t="s">
        <v>267</v>
      </c>
      <c r="F134" s="35" t="s">
        <v>268</v>
      </c>
      <c r="G134" s="35" t="s">
        <v>269</v>
      </c>
      <c r="H134" s="35">
        <v>5.0</v>
      </c>
      <c r="I134" s="35"/>
      <c r="J134" s="35"/>
      <c r="K134" s="35" t="s">
        <v>160</v>
      </c>
      <c r="L134" s="35" t="s">
        <v>188</v>
      </c>
      <c r="M134" s="35"/>
      <c r="N134" s="35"/>
      <c r="O134" s="35"/>
      <c r="P134" s="35" t="s">
        <v>35</v>
      </c>
      <c r="Q134" s="35"/>
    </row>
    <row r="135" ht="15.75" customHeight="1">
      <c r="A135" s="35" t="s">
        <v>35</v>
      </c>
      <c r="B135" s="35" t="s">
        <v>120</v>
      </c>
      <c r="C135" s="35">
        <v>14.0</v>
      </c>
      <c r="D135" s="35" t="s">
        <v>270</v>
      </c>
      <c r="E135" s="35" t="s">
        <v>271</v>
      </c>
      <c r="F135" s="35" t="s">
        <v>272</v>
      </c>
      <c r="G135" s="35" t="s">
        <v>273</v>
      </c>
      <c r="H135" s="35">
        <v>5.0</v>
      </c>
      <c r="I135" s="35"/>
      <c r="J135" s="35"/>
      <c r="K135" s="35" t="s">
        <v>146</v>
      </c>
      <c r="L135" s="35" t="s">
        <v>188</v>
      </c>
      <c r="M135" s="35"/>
      <c r="N135" s="35"/>
      <c r="O135" s="35"/>
      <c r="P135" s="35" t="s">
        <v>35</v>
      </c>
      <c r="Q135" s="35"/>
    </row>
    <row r="136" ht="15.75" customHeight="1">
      <c r="A136" s="35" t="s">
        <v>35</v>
      </c>
      <c r="B136" s="35" t="s">
        <v>120</v>
      </c>
      <c r="C136" s="35">
        <v>15.0</v>
      </c>
      <c r="D136" s="35" t="s">
        <v>270</v>
      </c>
      <c r="E136" s="35" t="s">
        <v>246</v>
      </c>
      <c r="F136" s="35" t="s">
        <v>274</v>
      </c>
      <c r="G136" s="35" t="s">
        <v>275</v>
      </c>
      <c r="H136" s="35">
        <v>5.0</v>
      </c>
      <c r="I136" s="35"/>
      <c r="J136" s="35"/>
      <c r="K136" s="35" t="s">
        <v>142</v>
      </c>
      <c r="L136" s="35" t="s">
        <v>179</v>
      </c>
      <c r="M136" s="35"/>
      <c r="N136" s="35"/>
      <c r="O136" s="35"/>
      <c r="P136" s="35" t="s">
        <v>35</v>
      </c>
      <c r="Q136" s="35"/>
    </row>
    <row r="137" ht="15.75" customHeight="1">
      <c r="A137" s="35" t="s">
        <v>35</v>
      </c>
      <c r="B137" s="35" t="s">
        <v>120</v>
      </c>
      <c r="C137" s="35">
        <v>16.0</v>
      </c>
      <c r="D137" s="35" t="s">
        <v>276</v>
      </c>
      <c r="E137" s="35" t="s">
        <v>356</v>
      </c>
      <c r="F137" s="35" t="s">
        <v>357</v>
      </c>
      <c r="G137" s="35" t="s">
        <v>358</v>
      </c>
      <c r="H137" s="35">
        <v>5.0</v>
      </c>
      <c r="I137" s="35"/>
      <c r="J137" s="35"/>
      <c r="K137" s="35" t="s">
        <v>154</v>
      </c>
      <c r="L137" s="35" t="s">
        <v>176</v>
      </c>
      <c r="M137" s="35"/>
      <c r="N137" s="35"/>
      <c r="O137" s="35"/>
      <c r="P137" s="35" t="s">
        <v>35</v>
      </c>
      <c r="Q137" s="35"/>
    </row>
    <row r="138" ht="15.75" customHeight="1">
      <c r="A138" s="35" t="s">
        <v>35</v>
      </c>
      <c r="B138" s="35" t="s">
        <v>120</v>
      </c>
      <c r="C138" s="35">
        <v>17.0</v>
      </c>
      <c r="D138" s="35" t="s">
        <v>276</v>
      </c>
      <c r="E138" s="35" t="s">
        <v>356</v>
      </c>
      <c r="F138" s="35" t="s">
        <v>359</v>
      </c>
      <c r="G138" s="35" t="s">
        <v>360</v>
      </c>
      <c r="H138" s="35">
        <v>5.0</v>
      </c>
      <c r="I138" s="35"/>
      <c r="J138" s="35"/>
      <c r="K138" s="35" t="s">
        <v>154</v>
      </c>
      <c r="L138" s="35" t="s">
        <v>176</v>
      </c>
      <c r="M138" s="35"/>
      <c r="N138" s="35"/>
      <c r="O138" s="35"/>
      <c r="P138" s="35" t="s">
        <v>35</v>
      </c>
      <c r="Q138" s="35"/>
    </row>
    <row r="139" ht="15.75" customHeight="1">
      <c r="A139" s="35" t="s">
        <v>35</v>
      </c>
      <c r="B139" s="35" t="s">
        <v>120</v>
      </c>
      <c r="C139" s="35">
        <v>18.0</v>
      </c>
      <c r="D139" s="35" t="s">
        <v>276</v>
      </c>
      <c r="E139" s="35" t="s">
        <v>356</v>
      </c>
      <c r="F139" s="35" t="s">
        <v>361</v>
      </c>
      <c r="G139" s="35" t="s">
        <v>362</v>
      </c>
      <c r="H139" s="35">
        <v>5.0</v>
      </c>
      <c r="I139" s="35"/>
      <c r="J139" s="35"/>
      <c r="K139" s="35" t="s">
        <v>154</v>
      </c>
      <c r="L139" s="35" t="s">
        <v>176</v>
      </c>
      <c r="M139" s="35"/>
      <c r="N139" s="35"/>
      <c r="O139" s="35"/>
      <c r="P139" s="35" t="s">
        <v>35</v>
      </c>
      <c r="Q139" s="35"/>
    </row>
    <row r="140" ht="15.75" customHeight="1">
      <c r="A140" s="35" t="s">
        <v>35</v>
      </c>
      <c r="B140" s="35" t="s">
        <v>120</v>
      </c>
      <c r="C140" s="35">
        <v>19.0</v>
      </c>
      <c r="D140" s="35" t="s">
        <v>276</v>
      </c>
      <c r="E140" s="35" t="s">
        <v>258</v>
      </c>
      <c r="F140" s="35" t="s">
        <v>363</v>
      </c>
      <c r="G140" s="35" t="s">
        <v>364</v>
      </c>
      <c r="H140" s="35">
        <v>5.0</v>
      </c>
      <c r="I140" s="35"/>
      <c r="J140" s="35"/>
      <c r="K140" s="35" t="s">
        <v>150</v>
      </c>
      <c r="L140" s="35" t="s">
        <v>182</v>
      </c>
      <c r="M140" s="35"/>
      <c r="N140" s="35"/>
      <c r="O140" s="35"/>
      <c r="P140" s="35" t="s">
        <v>35</v>
      </c>
      <c r="Q140" s="35"/>
    </row>
    <row r="141" ht="15.75" customHeight="1">
      <c r="A141" s="35" t="s">
        <v>35</v>
      </c>
      <c r="B141" s="35" t="s">
        <v>120</v>
      </c>
      <c r="C141" s="35">
        <v>20.0</v>
      </c>
      <c r="D141" s="35" t="s">
        <v>276</v>
      </c>
      <c r="E141" s="35" t="s">
        <v>252</v>
      </c>
      <c r="F141" s="35" t="s">
        <v>365</v>
      </c>
      <c r="G141" s="35" t="s">
        <v>366</v>
      </c>
      <c r="H141" s="35">
        <v>5.0</v>
      </c>
      <c r="I141" s="35"/>
      <c r="J141" s="35"/>
      <c r="K141" s="35" t="s">
        <v>157</v>
      </c>
      <c r="L141" s="35" t="s">
        <v>179</v>
      </c>
      <c r="M141" s="35"/>
      <c r="N141" s="35"/>
      <c r="O141" s="35"/>
      <c r="P141" s="35" t="s">
        <v>35</v>
      </c>
      <c r="Q141" s="35"/>
    </row>
    <row r="142" ht="15.75" customHeight="1">
      <c r="A142" s="35" t="s">
        <v>23</v>
      </c>
      <c r="B142" s="35" t="s">
        <v>121</v>
      </c>
      <c r="C142" s="35">
        <v>1.0</v>
      </c>
      <c r="D142" s="35" t="s">
        <v>229</v>
      </c>
      <c r="E142" s="35" t="s">
        <v>230</v>
      </c>
      <c r="F142" s="35" t="s">
        <v>231</v>
      </c>
      <c r="G142" s="35" t="s">
        <v>232</v>
      </c>
      <c r="H142" s="35">
        <v>5.0</v>
      </c>
      <c r="I142" s="35"/>
      <c r="J142" s="35"/>
      <c r="K142" s="35" t="s">
        <v>142</v>
      </c>
      <c r="L142" s="35" t="s">
        <v>170</v>
      </c>
      <c r="M142" s="35"/>
      <c r="N142" s="35"/>
      <c r="O142" s="35"/>
      <c r="P142" s="35" t="s">
        <v>23</v>
      </c>
      <c r="Q142" s="35"/>
    </row>
    <row r="143" ht="15.75" customHeight="1">
      <c r="A143" s="35" t="s">
        <v>23</v>
      </c>
      <c r="B143" s="35" t="s">
        <v>121</v>
      </c>
      <c r="C143" s="35">
        <v>2.0</v>
      </c>
      <c r="D143" s="35" t="s">
        <v>229</v>
      </c>
      <c r="E143" s="35" t="s">
        <v>233</v>
      </c>
      <c r="F143" s="35" t="s">
        <v>234</v>
      </c>
      <c r="G143" s="35" t="s">
        <v>235</v>
      </c>
      <c r="H143" s="35">
        <v>5.0</v>
      </c>
      <c r="I143" s="35"/>
      <c r="J143" s="35"/>
      <c r="K143" s="35" t="s">
        <v>166</v>
      </c>
      <c r="L143" s="35" t="s">
        <v>191</v>
      </c>
      <c r="M143" s="35"/>
      <c r="N143" s="35"/>
      <c r="O143" s="35"/>
      <c r="P143" s="35" t="s">
        <v>23</v>
      </c>
      <c r="Q143" s="35"/>
    </row>
    <row r="144" ht="15.75" customHeight="1">
      <c r="A144" s="35" t="s">
        <v>23</v>
      </c>
      <c r="B144" s="35" t="s">
        <v>121</v>
      </c>
      <c r="C144" s="35">
        <v>3.0</v>
      </c>
      <c r="D144" s="35" t="s">
        <v>229</v>
      </c>
      <c r="E144" s="35" t="s">
        <v>236</v>
      </c>
      <c r="F144" s="35" t="s">
        <v>237</v>
      </c>
      <c r="G144" s="35" t="s">
        <v>238</v>
      </c>
      <c r="H144" s="35">
        <v>5.0</v>
      </c>
      <c r="I144" s="35"/>
      <c r="J144" s="35"/>
      <c r="K144" s="35" t="s">
        <v>166</v>
      </c>
      <c r="L144" s="35" t="s">
        <v>191</v>
      </c>
      <c r="M144" s="35"/>
      <c r="N144" s="35"/>
      <c r="O144" s="35"/>
      <c r="P144" s="35" t="s">
        <v>23</v>
      </c>
      <c r="Q144" s="35"/>
    </row>
    <row r="145" ht="15.75" customHeight="1">
      <c r="A145" s="35" t="s">
        <v>23</v>
      </c>
      <c r="B145" s="35" t="s">
        <v>121</v>
      </c>
      <c r="C145" s="35">
        <v>4.0</v>
      </c>
      <c r="D145" s="35" t="s">
        <v>239</v>
      </c>
      <c r="E145" s="35" t="s">
        <v>240</v>
      </c>
      <c r="F145" s="35" t="s">
        <v>241</v>
      </c>
      <c r="G145" s="35" t="s">
        <v>242</v>
      </c>
      <c r="H145" s="35">
        <v>5.0</v>
      </c>
      <c r="I145" s="35"/>
      <c r="J145" s="35"/>
      <c r="K145" s="35" t="s">
        <v>146</v>
      </c>
      <c r="L145" s="35" t="s">
        <v>173</v>
      </c>
      <c r="M145" s="35"/>
      <c r="N145" s="35"/>
      <c r="O145" s="35"/>
      <c r="P145" s="35" t="s">
        <v>23</v>
      </c>
      <c r="Q145" s="35"/>
    </row>
    <row r="146" ht="15.75" customHeight="1">
      <c r="A146" s="35" t="s">
        <v>23</v>
      </c>
      <c r="B146" s="35" t="s">
        <v>121</v>
      </c>
      <c r="C146" s="35">
        <v>5.0</v>
      </c>
      <c r="D146" s="35" t="s">
        <v>239</v>
      </c>
      <c r="E146" s="35" t="s">
        <v>240</v>
      </c>
      <c r="F146" s="35" t="s">
        <v>243</v>
      </c>
      <c r="G146" s="35" t="s">
        <v>244</v>
      </c>
      <c r="H146" s="35">
        <v>5.0</v>
      </c>
      <c r="I146" s="35"/>
      <c r="J146" s="35"/>
      <c r="K146" s="35" t="s">
        <v>146</v>
      </c>
      <c r="L146" s="35" t="s">
        <v>173</v>
      </c>
      <c r="M146" s="35"/>
      <c r="N146" s="35"/>
      <c r="O146" s="35"/>
      <c r="P146" s="35" t="s">
        <v>23</v>
      </c>
      <c r="Q146" s="35"/>
    </row>
    <row r="147" ht="15.75" customHeight="1">
      <c r="A147" s="35" t="s">
        <v>23</v>
      </c>
      <c r="B147" s="35" t="s">
        <v>121</v>
      </c>
      <c r="C147" s="35">
        <v>6.0</v>
      </c>
      <c r="D147" s="35" t="s">
        <v>245</v>
      </c>
      <c r="E147" s="35" t="s">
        <v>246</v>
      </c>
      <c r="F147" s="35" t="s">
        <v>247</v>
      </c>
      <c r="G147" s="35" t="s">
        <v>248</v>
      </c>
      <c r="H147" s="35">
        <v>5.0</v>
      </c>
      <c r="I147" s="35"/>
      <c r="J147" s="35"/>
      <c r="K147" s="35" t="s">
        <v>142</v>
      </c>
      <c r="L147" s="35" t="s">
        <v>179</v>
      </c>
      <c r="M147" s="35"/>
      <c r="N147" s="35"/>
      <c r="O147" s="35"/>
      <c r="P147" s="35" t="s">
        <v>23</v>
      </c>
      <c r="Q147" s="35"/>
    </row>
    <row r="148" ht="15.75" customHeight="1">
      <c r="A148" s="35" t="s">
        <v>23</v>
      </c>
      <c r="B148" s="35" t="s">
        <v>121</v>
      </c>
      <c r="C148" s="35">
        <v>7.0</v>
      </c>
      <c r="D148" s="35" t="s">
        <v>245</v>
      </c>
      <c r="E148" s="35" t="s">
        <v>246</v>
      </c>
      <c r="F148" s="35" t="s">
        <v>249</v>
      </c>
      <c r="G148" s="35" t="s">
        <v>250</v>
      </c>
      <c r="H148" s="35">
        <v>5.0</v>
      </c>
      <c r="I148" s="35"/>
      <c r="J148" s="35"/>
      <c r="K148" s="35" t="s">
        <v>142</v>
      </c>
      <c r="L148" s="35" t="s">
        <v>179</v>
      </c>
      <c r="M148" s="35"/>
      <c r="N148" s="35"/>
      <c r="O148" s="35"/>
      <c r="P148" s="35" t="s">
        <v>23</v>
      </c>
      <c r="Q148" s="35"/>
    </row>
    <row r="149" ht="15.75" customHeight="1">
      <c r="A149" s="35" t="s">
        <v>23</v>
      </c>
      <c r="B149" s="35" t="s">
        <v>121</v>
      </c>
      <c r="C149" s="35">
        <v>8.0</v>
      </c>
      <c r="D149" s="35" t="s">
        <v>251</v>
      </c>
      <c r="E149" s="35" t="s">
        <v>252</v>
      </c>
      <c r="F149" s="35" t="s">
        <v>253</v>
      </c>
      <c r="G149" s="35" t="s">
        <v>254</v>
      </c>
      <c r="H149" s="35">
        <v>5.0</v>
      </c>
      <c r="I149" s="35"/>
      <c r="J149" s="35"/>
      <c r="K149" s="35" t="s">
        <v>157</v>
      </c>
      <c r="L149" s="35" t="s">
        <v>179</v>
      </c>
      <c r="M149" s="35"/>
      <c r="N149" s="35"/>
      <c r="O149" s="35"/>
      <c r="P149" s="35" t="s">
        <v>23</v>
      </c>
      <c r="Q149" s="35"/>
    </row>
    <row r="150" ht="15.75" customHeight="1">
      <c r="A150" s="35" t="s">
        <v>23</v>
      </c>
      <c r="B150" s="35" t="s">
        <v>121</v>
      </c>
      <c r="C150" s="35">
        <v>9.0</v>
      </c>
      <c r="D150" s="35" t="s">
        <v>251</v>
      </c>
      <c r="E150" s="35" t="s">
        <v>252</v>
      </c>
      <c r="F150" s="35" t="s">
        <v>255</v>
      </c>
      <c r="G150" s="35" t="s">
        <v>256</v>
      </c>
      <c r="H150" s="35">
        <v>5.0</v>
      </c>
      <c r="I150" s="35"/>
      <c r="J150" s="35"/>
      <c r="K150" s="35" t="s">
        <v>157</v>
      </c>
      <c r="L150" s="35" t="s">
        <v>179</v>
      </c>
      <c r="M150" s="35"/>
      <c r="N150" s="35"/>
      <c r="O150" s="35"/>
      <c r="P150" s="35" t="s">
        <v>23</v>
      </c>
      <c r="Q150" s="35"/>
    </row>
    <row r="151" ht="15.75" customHeight="1">
      <c r="A151" s="35" t="s">
        <v>23</v>
      </c>
      <c r="B151" s="35" t="s">
        <v>121</v>
      </c>
      <c r="C151" s="35">
        <v>10.0</v>
      </c>
      <c r="D151" s="35" t="s">
        <v>257</v>
      </c>
      <c r="E151" s="35" t="s">
        <v>258</v>
      </c>
      <c r="F151" s="35" t="s">
        <v>259</v>
      </c>
      <c r="G151" s="35" t="s">
        <v>260</v>
      </c>
      <c r="H151" s="35">
        <v>5.0</v>
      </c>
      <c r="I151" s="35"/>
      <c r="J151" s="35"/>
      <c r="K151" s="35" t="s">
        <v>150</v>
      </c>
      <c r="L151" s="35" t="s">
        <v>182</v>
      </c>
      <c r="M151" s="35"/>
      <c r="N151" s="35"/>
      <c r="O151" s="35"/>
      <c r="P151" s="35" t="s">
        <v>23</v>
      </c>
      <c r="Q151" s="35"/>
    </row>
    <row r="152" ht="15.75" customHeight="1">
      <c r="A152" s="35" t="s">
        <v>23</v>
      </c>
      <c r="B152" s="35" t="s">
        <v>121</v>
      </c>
      <c r="C152" s="35">
        <v>11.0</v>
      </c>
      <c r="D152" s="35" t="s">
        <v>257</v>
      </c>
      <c r="E152" s="35" t="s">
        <v>258</v>
      </c>
      <c r="F152" s="35" t="s">
        <v>261</v>
      </c>
      <c r="G152" s="35" t="s">
        <v>262</v>
      </c>
      <c r="H152" s="35">
        <v>5.0</v>
      </c>
      <c r="I152" s="35"/>
      <c r="J152" s="35"/>
      <c r="K152" s="35" t="s">
        <v>150</v>
      </c>
      <c r="L152" s="35" t="s">
        <v>182</v>
      </c>
      <c r="M152" s="35"/>
      <c r="N152" s="35"/>
      <c r="O152" s="35"/>
      <c r="P152" s="35" t="s">
        <v>23</v>
      </c>
      <c r="Q152" s="35"/>
    </row>
    <row r="153" ht="15.75" customHeight="1">
      <c r="A153" s="35" t="s">
        <v>23</v>
      </c>
      <c r="B153" s="35" t="s">
        <v>121</v>
      </c>
      <c r="C153" s="35">
        <v>12.0</v>
      </c>
      <c r="D153" s="35" t="s">
        <v>263</v>
      </c>
      <c r="E153" s="35" t="s">
        <v>264</v>
      </c>
      <c r="F153" s="35" t="s">
        <v>265</v>
      </c>
      <c r="G153" s="35" t="s">
        <v>266</v>
      </c>
      <c r="H153" s="35">
        <v>5.0</v>
      </c>
      <c r="I153" s="35"/>
      <c r="J153" s="35"/>
      <c r="K153" s="35" t="s">
        <v>150</v>
      </c>
      <c r="L153" s="35" t="s">
        <v>182</v>
      </c>
      <c r="M153" s="35"/>
      <c r="N153" s="35"/>
      <c r="O153" s="35"/>
      <c r="P153" s="35" t="s">
        <v>23</v>
      </c>
      <c r="Q153" s="35"/>
    </row>
    <row r="154" ht="15.75" customHeight="1">
      <c r="A154" s="35" t="s">
        <v>23</v>
      </c>
      <c r="B154" s="35" t="s">
        <v>121</v>
      </c>
      <c r="C154" s="35">
        <v>13.0</v>
      </c>
      <c r="D154" s="35" t="s">
        <v>263</v>
      </c>
      <c r="E154" s="35" t="s">
        <v>267</v>
      </c>
      <c r="F154" s="35" t="s">
        <v>268</v>
      </c>
      <c r="G154" s="35" t="s">
        <v>269</v>
      </c>
      <c r="H154" s="35">
        <v>5.0</v>
      </c>
      <c r="I154" s="35"/>
      <c r="J154" s="35"/>
      <c r="K154" s="35" t="s">
        <v>160</v>
      </c>
      <c r="L154" s="35" t="s">
        <v>188</v>
      </c>
      <c r="M154" s="35"/>
      <c r="N154" s="35"/>
      <c r="O154" s="35"/>
      <c r="P154" s="35" t="s">
        <v>23</v>
      </c>
      <c r="Q154" s="35"/>
    </row>
    <row r="155" ht="15.75" customHeight="1">
      <c r="A155" s="35" t="s">
        <v>23</v>
      </c>
      <c r="B155" s="35" t="s">
        <v>121</v>
      </c>
      <c r="C155" s="35">
        <v>14.0</v>
      </c>
      <c r="D155" s="35" t="s">
        <v>270</v>
      </c>
      <c r="E155" s="35" t="s">
        <v>271</v>
      </c>
      <c r="F155" s="35" t="s">
        <v>272</v>
      </c>
      <c r="G155" s="35" t="s">
        <v>273</v>
      </c>
      <c r="H155" s="35">
        <v>5.0</v>
      </c>
      <c r="I155" s="35"/>
      <c r="J155" s="35"/>
      <c r="K155" s="35" t="s">
        <v>146</v>
      </c>
      <c r="L155" s="35" t="s">
        <v>188</v>
      </c>
      <c r="M155" s="35"/>
      <c r="N155" s="35"/>
      <c r="O155" s="35"/>
      <c r="P155" s="35" t="s">
        <v>23</v>
      </c>
      <c r="Q155" s="35"/>
    </row>
    <row r="156" ht="15.75" customHeight="1">
      <c r="A156" s="35" t="s">
        <v>23</v>
      </c>
      <c r="B156" s="35" t="s">
        <v>121</v>
      </c>
      <c r="C156" s="35">
        <v>15.0</v>
      </c>
      <c r="D156" s="35" t="s">
        <v>270</v>
      </c>
      <c r="E156" s="35" t="s">
        <v>246</v>
      </c>
      <c r="F156" s="35" t="s">
        <v>274</v>
      </c>
      <c r="G156" s="35" t="s">
        <v>275</v>
      </c>
      <c r="H156" s="35">
        <v>5.0</v>
      </c>
      <c r="I156" s="35"/>
      <c r="J156" s="35"/>
      <c r="K156" s="35" t="s">
        <v>142</v>
      </c>
      <c r="L156" s="35" t="s">
        <v>179</v>
      </c>
      <c r="M156" s="35"/>
      <c r="N156" s="35"/>
      <c r="O156" s="35"/>
      <c r="P156" s="35" t="s">
        <v>23</v>
      </c>
      <c r="Q156" s="35"/>
    </row>
    <row r="157" ht="15.75" customHeight="1">
      <c r="A157" s="35" t="s">
        <v>23</v>
      </c>
      <c r="B157" s="35" t="s">
        <v>121</v>
      </c>
      <c r="C157" s="35">
        <v>16.0</v>
      </c>
      <c r="D157" s="35" t="s">
        <v>276</v>
      </c>
      <c r="E157" s="35" t="s">
        <v>271</v>
      </c>
      <c r="F157" s="35" t="s">
        <v>369</v>
      </c>
      <c r="G157" s="35" t="s">
        <v>370</v>
      </c>
      <c r="H157" s="35">
        <v>5.0</v>
      </c>
      <c r="I157" s="35"/>
      <c r="J157" s="35"/>
      <c r="K157" s="35" t="s">
        <v>146</v>
      </c>
      <c r="L157" s="35" t="s">
        <v>188</v>
      </c>
      <c r="M157" s="35"/>
      <c r="N157" s="35"/>
      <c r="O157" s="35"/>
      <c r="P157" s="35" t="s">
        <v>23</v>
      </c>
      <c r="Q157" s="35"/>
    </row>
    <row r="158" ht="15.75" customHeight="1">
      <c r="A158" s="35" t="s">
        <v>23</v>
      </c>
      <c r="B158" s="35" t="s">
        <v>121</v>
      </c>
      <c r="C158" s="35">
        <v>17.0</v>
      </c>
      <c r="D158" s="35" t="s">
        <v>276</v>
      </c>
      <c r="E158" s="35" t="s">
        <v>246</v>
      </c>
      <c r="F158" s="35" t="s">
        <v>371</v>
      </c>
      <c r="G158" s="35" t="s">
        <v>372</v>
      </c>
      <c r="H158" s="35">
        <v>5.0</v>
      </c>
      <c r="I158" s="35"/>
      <c r="J158" s="35"/>
      <c r="K158" s="35" t="s">
        <v>142</v>
      </c>
      <c r="L158" s="35" t="s">
        <v>179</v>
      </c>
      <c r="M158" s="35"/>
      <c r="N158" s="35"/>
      <c r="O158" s="35"/>
      <c r="P158" s="35" t="s">
        <v>23</v>
      </c>
      <c r="Q158" s="35"/>
    </row>
    <row r="159" ht="15.75" customHeight="1">
      <c r="A159" s="35" t="s">
        <v>23</v>
      </c>
      <c r="B159" s="35" t="s">
        <v>121</v>
      </c>
      <c r="C159" s="35">
        <v>18.0</v>
      </c>
      <c r="D159" s="35" t="s">
        <v>276</v>
      </c>
      <c r="E159" s="35" t="s">
        <v>258</v>
      </c>
      <c r="F159" s="35" t="s">
        <v>373</v>
      </c>
      <c r="G159" s="35" t="s">
        <v>374</v>
      </c>
      <c r="H159" s="35">
        <v>5.0</v>
      </c>
      <c r="I159" s="35"/>
      <c r="J159" s="35"/>
      <c r="K159" s="35" t="s">
        <v>150</v>
      </c>
      <c r="L159" s="35" t="s">
        <v>182</v>
      </c>
      <c r="M159" s="35"/>
      <c r="N159" s="35"/>
      <c r="O159" s="35"/>
      <c r="P159" s="35" t="s">
        <v>23</v>
      </c>
      <c r="Q159" s="35"/>
    </row>
    <row r="160" ht="15.75" customHeight="1">
      <c r="A160" s="35" t="s">
        <v>23</v>
      </c>
      <c r="B160" s="35" t="s">
        <v>121</v>
      </c>
      <c r="C160" s="35">
        <v>19.0</v>
      </c>
      <c r="D160" s="35" t="s">
        <v>276</v>
      </c>
      <c r="E160" s="35" t="s">
        <v>264</v>
      </c>
      <c r="F160" s="35" t="s">
        <v>375</v>
      </c>
      <c r="G160" s="35" t="s">
        <v>376</v>
      </c>
      <c r="H160" s="35">
        <v>5.0</v>
      </c>
      <c r="I160" s="35"/>
      <c r="J160" s="35"/>
      <c r="K160" s="35" t="s">
        <v>150</v>
      </c>
      <c r="L160" s="35" t="s">
        <v>182</v>
      </c>
      <c r="M160" s="35"/>
      <c r="N160" s="35"/>
      <c r="O160" s="35"/>
      <c r="P160" s="35" t="s">
        <v>23</v>
      </c>
      <c r="Q160" s="35"/>
    </row>
    <row r="161" ht="15.75" customHeight="1">
      <c r="A161" s="35" t="s">
        <v>23</v>
      </c>
      <c r="B161" s="35" t="s">
        <v>121</v>
      </c>
      <c r="C161" s="35">
        <v>20.0</v>
      </c>
      <c r="D161" s="35" t="s">
        <v>276</v>
      </c>
      <c r="E161" s="35" t="s">
        <v>252</v>
      </c>
      <c r="F161" s="35" t="s">
        <v>377</v>
      </c>
      <c r="G161" s="35" t="s">
        <v>378</v>
      </c>
      <c r="H161" s="35">
        <v>5.0</v>
      </c>
      <c r="I161" s="35"/>
      <c r="J161" s="35"/>
      <c r="K161" s="35" t="s">
        <v>157</v>
      </c>
      <c r="L161" s="35" t="s">
        <v>179</v>
      </c>
      <c r="M161" s="35"/>
      <c r="N161" s="35"/>
      <c r="O161" s="35"/>
      <c r="P161" s="35" t="s">
        <v>23</v>
      </c>
      <c r="Q161" s="35"/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32.0"/>
    <col customWidth="1" min="3" max="3" width="14.0"/>
    <col customWidth="1" min="4" max="4" width="12.0"/>
    <col customWidth="1" min="5" max="5" width="10.0"/>
    <col customWidth="1" min="6" max="6" width="14.0"/>
    <col customWidth="1" min="7" max="7" width="18.0"/>
    <col customWidth="1" min="8" max="8" width="30.0"/>
  </cols>
  <sheetData>
    <row r="1">
      <c r="A1" s="34" t="s">
        <v>20</v>
      </c>
      <c r="B1" s="34" t="s">
        <v>381</v>
      </c>
      <c r="C1" s="34" t="s">
        <v>380</v>
      </c>
      <c r="D1" s="44" t="s">
        <v>112</v>
      </c>
      <c r="E1" s="45" t="s">
        <v>382</v>
      </c>
      <c r="F1" s="34" t="s">
        <v>130</v>
      </c>
      <c r="G1" s="34" t="s">
        <v>383</v>
      </c>
      <c r="H1" s="34" t="s">
        <v>194</v>
      </c>
    </row>
    <row r="2">
      <c r="A2" s="35">
        <v>1.0</v>
      </c>
      <c r="B2" s="35" t="s">
        <v>27</v>
      </c>
      <c r="C2" s="35" t="s">
        <v>114</v>
      </c>
      <c r="D2" s="35">
        <f>P_KHTH!G28</f>
        <v>0</v>
      </c>
      <c r="E2" s="39">
        <f>P_KHTH!H28</f>
        <v>0</v>
      </c>
      <c r="F2" s="35" t="str">
        <f>P_KHTH!I28</f>
        <v>Chưa đạt</v>
      </c>
      <c r="G2" s="35">
        <f>COUNTBLANK(P_KHTH!G7:G26)</f>
        <v>20</v>
      </c>
      <c r="H2" s="35"/>
    </row>
    <row r="3">
      <c r="A3" s="35">
        <v>2.0</v>
      </c>
      <c r="B3" s="35" t="s">
        <v>29</v>
      </c>
      <c r="C3" s="35" t="s">
        <v>115</v>
      </c>
      <c r="D3" s="35">
        <f>P_QLCL!G28</f>
        <v>0</v>
      </c>
      <c r="E3" s="39">
        <f>P_QLCL!H28</f>
        <v>0</v>
      </c>
      <c r="F3" s="35" t="str">
        <f>P_QLCL!I28</f>
        <v>Chưa đạt</v>
      </c>
      <c r="G3" s="35">
        <f>COUNTBLANK(P_QLCL!G7:G26)</f>
        <v>20</v>
      </c>
      <c r="H3" s="35"/>
    </row>
    <row r="4">
      <c r="A4" s="35">
        <v>3.0</v>
      </c>
      <c r="B4" s="35" t="s">
        <v>33</v>
      </c>
      <c r="C4" s="35" t="s">
        <v>116</v>
      </c>
      <c r="D4" s="35">
        <f>P_TCCB!G28</f>
        <v>0</v>
      </c>
      <c r="E4" s="39">
        <f>P_TCCB!H28</f>
        <v>0</v>
      </c>
      <c r="F4" s="35" t="str">
        <f>P_TCCB!I28</f>
        <v>Chưa đạt</v>
      </c>
      <c r="G4" s="35">
        <f>COUNTBLANK(P_TCCB!G7:G26)</f>
        <v>20</v>
      </c>
      <c r="H4" s="35"/>
    </row>
    <row r="5">
      <c r="A5" s="35">
        <v>4.0</v>
      </c>
      <c r="B5" s="35" t="s">
        <v>25</v>
      </c>
      <c r="C5" s="35" t="s">
        <v>117</v>
      </c>
      <c r="D5" s="35">
        <f>P_HCQT!G28</f>
        <v>0</v>
      </c>
      <c r="E5" s="39">
        <f>P_HCQT!H28</f>
        <v>0</v>
      </c>
      <c r="F5" s="35" t="str">
        <f>P_HCQT!I28</f>
        <v>Chưa đạt</v>
      </c>
      <c r="G5" s="35">
        <f>COUNTBLANK(P_HCQT!G7:G26)</f>
        <v>20</v>
      </c>
      <c r="H5" s="35"/>
    </row>
    <row r="6">
      <c r="A6" s="35">
        <v>5.0</v>
      </c>
      <c r="B6" s="35" t="s">
        <v>37</v>
      </c>
      <c r="C6" s="35" t="s">
        <v>118</v>
      </c>
      <c r="D6" s="35">
        <f>P_DIEU_DUONG!G28</f>
        <v>0</v>
      </c>
      <c r="E6" s="39">
        <f>P_DIEU_DUONG!H28</f>
        <v>0</v>
      </c>
      <c r="F6" s="35" t="str">
        <f>P_DIEU_DUONG!I28</f>
        <v>Chưa đạt</v>
      </c>
      <c r="G6" s="35">
        <f>COUNTBLANK(P_DIEU_DUONG!G7:G26)</f>
        <v>20</v>
      </c>
      <c r="H6" s="35"/>
    </row>
    <row r="7">
      <c r="A7" s="35">
        <v>6.0</v>
      </c>
      <c r="B7" s="35" t="s">
        <v>31</v>
      </c>
      <c r="C7" s="35" t="s">
        <v>119</v>
      </c>
      <c r="D7" s="35">
        <f>P_TCKT!G28</f>
        <v>0</v>
      </c>
      <c r="E7" s="39">
        <f>P_TCKT!H28</f>
        <v>0</v>
      </c>
      <c r="F7" s="35" t="str">
        <f>P_TCKT!I28</f>
        <v>Chưa đạt</v>
      </c>
      <c r="G7" s="35">
        <f>COUNTBLANK(P_TCKT!G7:G26)</f>
        <v>20</v>
      </c>
      <c r="H7" s="35"/>
    </row>
    <row r="8">
      <c r="A8" s="35">
        <v>7.0</v>
      </c>
      <c r="B8" s="35" t="s">
        <v>35</v>
      </c>
      <c r="C8" s="35" t="s">
        <v>120</v>
      </c>
      <c r="D8" s="35">
        <f>P_VTTBYT!G28</f>
        <v>0</v>
      </c>
      <c r="E8" s="39">
        <f>P_VTTBYT!H28</f>
        <v>0</v>
      </c>
      <c r="F8" s="35" t="str">
        <f>P_VTTBYT!I28</f>
        <v>Chưa đạt</v>
      </c>
      <c r="G8" s="35">
        <f>COUNTBLANK(P_VTTBYT!G7:G26)</f>
        <v>20</v>
      </c>
      <c r="H8" s="35"/>
    </row>
    <row r="9">
      <c r="A9" s="35">
        <v>8.0</v>
      </c>
      <c r="B9" s="35" t="s">
        <v>23</v>
      </c>
      <c r="C9" s="35" t="s">
        <v>121</v>
      </c>
      <c r="D9" s="35">
        <f>P_CTXH!G28</f>
        <v>0</v>
      </c>
      <c r="E9" s="39">
        <f>P_CTXH!H28</f>
        <v>0</v>
      </c>
      <c r="F9" s="35" t="str">
        <f>P_CTXH!I28</f>
        <v>Chưa đạt</v>
      </c>
      <c r="G9" s="35">
        <f>COUNTBLANK(P_CTXH!G7:G26)</f>
        <v>20</v>
      </c>
      <c r="H9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